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3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22:20:19</v>
      </c>
      <c r="C4" t="str">
        <v>2025-12-01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0.004340</v>
      </c>
      <c r="K4" t="str">
        <f>BH4+(BI4*AN4)+(BJ4*AN4*POWER(V4,2))+(BK4*AN4*V4)+(BL4*POWER(AN4,2))</f>
        <v>0.032121</v>
      </c>
      <c r="L4" t="str">
        <f>((M4/1000)*(1000-((T4+S4)/2)))/(T4-S4)</f>
        <v>0.003823</v>
      </c>
      <c r="M4" t="str">
        <f>(AN4*(S4-R4))/(100*U4*(1000-S4))*1000</f>
        <v>0.032298</v>
      </c>
      <c r="N4" t="str">
        <v>1.116270</v>
      </c>
      <c r="O4" t="str">
        <v>0.997076</v>
      </c>
      <c r="P4" t="str">
        <f>0.61365*EXP((17.502*AL4)/(240.97+AL4))</f>
        <v>1.890413</v>
      </c>
      <c r="Q4" t="str">
        <f>P4-N4</f>
        <v>0.774143</v>
      </c>
      <c r="R4" t="str">
        <v>10.704475</v>
      </c>
      <c r="S4" t="str">
        <v>11.984125</v>
      </c>
      <c r="T4" t="str">
        <f>(P4/AM4)*1000</f>
        <v>20.295212</v>
      </c>
      <c r="U4" t="str">
        <f>V4*BG4</f>
        <v>0.441786</v>
      </c>
      <c r="V4" t="str">
        <v>7.500000</v>
      </c>
      <c r="W4" t="str">
        <v>PSF-01031_20251201222019_b73</v>
      </c>
      <c r="X4" t="str">
        <v>98.031166</v>
      </c>
      <c r="Y4" t="str">
        <v>499.798187</v>
      </c>
      <c r="Z4" t="str">
        <v>0.803859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1.555647</v>
      </c>
      <c r="AG4" t="str">
        <v>1.000000</v>
      </c>
      <c r="AH4" t="str">
        <v>44.67</v>
      </c>
      <c r="AI4" t="str">
        <v>39.90</v>
      </c>
      <c r="AJ4" t="str">
        <v>21.02</v>
      </c>
      <c r="AK4" t="str">
        <v>16.56</v>
      </c>
      <c r="AL4" t="str">
        <f>(AK4-AJ4)*(AJ4*0+0)+AK4</f>
        <v>16.56</v>
      </c>
      <c r="AM4" t="str">
        <v>93.15</v>
      </c>
      <c r="AN4" t="str">
        <v>1.1</v>
      </c>
      <c r="AO4" t="str">
        <v>-15.2</v>
      </c>
      <c r="AP4" t="str">
        <v>1480.3</v>
      </c>
      <c r="AQ4" t="str">
        <v>5</v>
      </c>
      <c r="AR4" t="str">
        <v>3.954</v>
      </c>
      <c r="AS4" t="str">
        <v>22:19:51</v>
      </c>
      <c r="AT4" t="str">
        <v>2025-12-01</v>
      </c>
      <c r="AU4" t="str">
        <v>4.99</v>
      </c>
      <c r="AV4" t="str">
        <v>1</v>
      </c>
      <c r="AW4" t="str">
        <v>-0.000</v>
      </c>
      <c r="AX4" t="str">
        <v>0.000</v>
      </c>
      <c r="AY4" t="str">
        <v>0.000</v>
      </c>
      <c r="AZ4" t="str">
        <v>-0.025</v>
      </c>
      <c r="BA4" t="str">
        <v>0.002</v>
      </c>
      <c r="BB4" t="str">
        <v>0.249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2.473053</v>
      </c>
      <c r="CD4" t="str">
        <v>2.439004</v>
      </c>
      <c r="CE4" t="str">
        <v>0.606738</v>
      </c>
      <c r="CF4" t="str">
        <v>0.573859</v>
      </c>
      <c r="CG4" t="str">
        <v>0.319809</v>
      </c>
      <c r="CH4" t="str">
        <v>-0.048013</v>
      </c>
      <c r="CI4" t="str">
        <v>0.050540</v>
      </c>
      <c r="CJ4" t="str">
        <v>0.111211</v>
      </c>
      <c r="CK4" t="str">
        <v>98.031166</v>
      </c>
      <c r="CL4" t="str">
        <v>0.000207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PSF-01031_20251201222019_b73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22:20:39</v>
      </c>
      <c r="C5" t="str">
        <v>2025-12-01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0.004631</v>
      </c>
      <c r="K5" t="str">
        <f>BH5+(BI5*AN5)+(BJ5*AN5*POWER(V5,2))+(BK5*AN5*V5)+(BL5*POWER(AN5,2))</f>
        <v>0.034267</v>
      </c>
      <c r="L5" t="str">
        <f>((M5/1000)*(1000-((T5+S5)/2)))/(T5-S5)</f>
        <v>0.004080</v>
      </c>
      <c r="M5" t="str">
        <f>(AN5*(S5-R5))/(100*U5*(1000-S5))*1000</f>
        <v>0.041505</v>
      </c>
      <c r="N5" t="str">
        <v>1.141184</v>
      </c>
      <c r="O5" t="str">
        <v>0.997691</v>
      </c>
      <c r="P5" t="str">
        <f>0.61365*EXP((17.502*AL5)/(240.97+AL5))</f>
        <v>2.072345</v>
      </c>
      <c r="Q5" t="str">
        <f>P5-N5</f>
        <v>0.931161</v>
      </c>
      <c r="R5" t="str">
        <v>10.712769</v>
      </c>
      <c r="S5" t="str">
        <v>12.253537</v>
      </c>
      <c r="T5" t="str">
        <f>(P5/AM5)*1000</f>
        <v>22.251936</v>
      </c>
      <c r="U5" t="str">
        <f>V5*BG5</f>
        <v>0.441786</v>
      </c>
      <c r="V5" t="str">
        <v>7.500000</v>
      </c>
      <c r="W5" t="str">
        <v>PSF-01031_20251201222039_a1e</v>
      </c>
      <c r="X5" t="str">
        <v>106.480118</v>
      </c>
      <c r="Y5" t="str">
        <v>436.157593</v>
      </c>
      <c r="Z5" t="str">
        <v>0.755868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1.343536</v>
      </c>
      <c r="AG5" t="str">
        <v>1.000000</v>
      </c>
      <c r="AH5" t="str">
        <v>45.62</v>
      </c>
      <c r="AI5" t="str">
        <v>39.89</v>
      </c>
      <c r="AJ5" t="str">
        <v>21.03</v>
      </c>
      <c r="AK5" t="str">
        <v>18.01</v>
      </c>
      <c r="AL5" t="str">
        <f>(AK5-AJ5)*(AJ5*0+0)+AK5</f>
        <v>18.01</v>
      </c>
      <c r="AM5" t="str">
        <v>93.13</v>
      </c>
      <c r="AN5" t="str">
        <v>1.2</v>
      </c>
      <c r="AO5" t="str">
        <v>-16.0</v>
      </c>
      <c r="AP5" t="str">
        <v>1465.1</v>
      </c>
      <c r="AQ5" t="str">
        <v>4</v>
      </c>
      <c r="AR5" t="str">
        <v>3.950</v>
      </c>
      <c r="AS5" t="str">
        <v>22:19:51</v>
      </c>
      <c r="AT5" t="str">
        <v>2025-12-01</v>
      </c>
      <c r="AU5" t="str">
        <v>4.99</v>
      </c>
      <c r="AV5" t="str">
        <v>1</v>
      </c>
      <c r="AW5" t="str">
        <v>-0.000</v>
      </c>
      <c r="AX5" t="str">
        <v>0.000</v>
      </c>
      <c r="AY5" t="str">
        <v>0.001</v>
      </c>
      <c r="AZ5" t="str">
        <v>-0.051</v>
      </c>
      <c r="BA5" t="str">
        <v>-0.132</v>
      </c>
      <c r="BB5" t="str">
        <v>-0.114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2.473036</v>
      </c>
      <c r="CD5" t="str">
        <v>2.440366</v>
      </c>
      <c r="CE5" t="str">
        <v>0.607113</v>
      </c>
      <c r="CF5" t="str">
        <v>0.572361</v>
      </c>
      <c r="CG5" t="str">
        <v>0.319628</v>
      </c>
      <c r="CH5" t="str">
        <v>-0.032473</v>
      </c>
      <c r="CI5" t="str">
        <v>0.052927</v>
      </c>
      <c r="CJ5" t="str">
        <v>0.110847</v>
      </c>
      <c r="CK5" t="str">
        <v>106.480118</v>
      </c>
      <c r="CL5" t="str">
        <v>0.000211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PSF-01031_20251201222039_a1e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22:21:16</v>
      </c>
      <c r="C6" t="str">
        <v>2025-12-01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0.002685</v>
      </c>
      <c r="K6" t="str">
        <f>BH6+(BI6*AN6)+(BJ6*AN6*POWER(V6,2))+(BK6*AN6*V6)+(BL6*POWER(AN6,2))</f>
        <v>0.033251</v>
      </c>
      <c r="L6" t="str">
        <f>((M6/1000)*(1000-((T6+S6)/2)))/(T6-S6)</f>
        <v>0.002485</v>
      </c>
      <c r="M6" t="str">
        <f>(AN6*(S6-R6))/(100*U6*(1000-S6))*1000</f>
        <v>0.040032</v>
      </c>
      <c r="N6" t="str">
        <v>1.144906</v>
      </c>
      <c r="O6" t="str">
        <v>1.002259</v>
      </c>
      <c r="P6" t="str">
        <f>0.61365*EXP((17.502*AL6)/(240.97+AL6))</f>
        <v>2.615290</v>
      </c>
      <c r="Q6" t="str">
        <f>P6-N6</f>
        <v>1.470384</v>
      </c>
      <c r="R6" t="str">
        <v>10.760900</v>
      </c>
      <c r="S6" t="str">
        <v>12.292444</v>
      </c>
      <c r="T6" t="str">
        <f>(P6/AM6)*1000</f>
        <v>28.079433</v>
      </c>
      <c r="U6" t="str">
        <f>V6*BG6</f>
        <v>0.441786</v>
      </c>
      <c r="V6" t="str">
        <v>7.500000</v>
      </c>
      <c r="W6" t="str">
        <v>PSF-01031_20251201222116_0f0</v>
      </c>
      <c r="X6" t="str">
        <v>85.667610</v>
      </c>
      <c r="Y6" t="str">
        <v>346.653687</v>
      </c>
      <c r="Z6" t="str">
        <v>0.752873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0.508367</v>
      </c>
      <c r="AG6" t="str">
        <v>1.000000</v>
      </c>
      <c r="AH6" t="str">
        <v>45.63</v>
      </c>
      <c r="AI6" t="str">
        <v>39.94</v>
      </c>
      <c r="AJ6" t="str">
        <v>21.09</v>
      </c>
      <c r="AK6" t="str">
        <v>21.76</v>
      </c>
      <c r="AL6" t="str">
        <f>(AK6-AJ6)*(AJ6*0+0)+AK6</f>
        <v>21.76</v>
      </c>
      <c r="AM6" t="str">
        <v>93.14</v>
      </c>
      <c r="AN6" t="str">
        <v>1.1</v>
      </c>
      <c r="AO6" t="str">
        <v>-15.9</v>
      </c>
      <c r="AP6" t="str">
        <v>1492.9</v>
      </c>
      <c r="AQ6" t="str">
        <v>2</v>
      </c>
      <c r="AR6" t="str">
        <v>3.947</v>
      </c>
      <c r="AS6" t="str">
        <v>22:19:51</v>
      </c>
      <c r="AT6" t="str">
        <v>2025-12-01</v>
      </c>
      <c r="AU6" t="str">
        <v>4.99</v>
      </c>
      <c r="AV6" t="str">
        <v>1</v>
      </c>
      <c r="AW6" t="str">
        <v>-0.000</v>
      </c>
      <c r="AX6" t="str">
        <v>-0.000</v>
      </c>
      <c r="AY6" t="str">
        <v>0.000</v>
      </c>
      <c r="AZ6" t="str">
        <v>-0.037</v>
      </c>
      <c r="BA6" t="str">
        <v>-0.159</v>
      </c>
      <c r="BB6" t="str">
        <v>-0.025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2.473112</v>
      </c>
      <c r="CD6" t="str">
        <v>2.440364</v>
      </c>
      <c r="CE6" t="str">
        <v>0.606936</v>
      </c>
      <c r="CF6" t="str">
        <v>0.572646</v>
      </c>
      <c r="CG6" t="str">
        <v>0.318973</v>
      </c>
      <c r="CH6" t="str">
        <v>0.008654</v>
      </c>
      <c r="CI6" t="str">
        <v>0.057622</v>
      </c>
      <c r="CJ6" t="str">
        <v>0.108306</v>
      </c>
      <c r="CK6" t="str">
        <v>85.667610</v>
      </c>
      <c r="CL6" t="str">
        <v>0.000210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PSF-01031_20251201222116_0f0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22:21:40</v>
      </c>
      <c r="C7" t="str">
        <v>2025-12-01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0.002000</v>
      </c>
      <c r="K7" t="str">
        <f>BH7+(BI7*AN7)+(BJ7*AN7*POWER(V7,2))+(BK7*AN7*V7)+(BL7*POWER(AN7,2))</f>
        <v>0.034160</v>
      </c>
      <c r="L7" t="str">
        <f>((M7/1000)*(1000-((T7+S7)/2)))/(T7-S7)</f>
        <v>0.001890</v>
      </c>
      <c r="M7" t="str">
        <f>(AN7*(S7-R7))/(100*U7*(1000-S7))*1000</f>
        <v>0.031029</v>
      </c>
      <c r="N7" t="str">
        <v>1.113533</v>
      </c>
      <c r="O7" t="str">
        <v>1.005887</v>
      </c>
      <c r="P7" t="str">
        <f>0.61365*EXP((17.502*AL7)/(240.97+AL7))</f>
        <v>2.612276</v>
      </c>
      <c r="Q7" t="str">
        <f>P7-N7</f>
        <v>1.498743</v>
      </c>
      <c r="R7" t="str">
        <v>10.800398</v>
      </c>
      <c r="S7" t="str">
        <v>11.956210</v>
      </c>
      <c r="T7" t="str">
        <f>(P7/AM7)*1000</f>
        <v>28.048502</v>
      </c>
      <c r="U7" t="str">
        <f>V7*BG7</f>
        <v>0.441786</v>
      </c>
      <c r="V7" t="str">
        <v>7.500000</v>
      </c>
      <c r="W7" t="str">
        <v>PSF-01031_20251201222140_c30</v>
      </c>
      <c r="X7" t="str">
        <v>89.516045</v>
      </c>
      <c r="Y7" t="str">
        <v>104.210617</v>
      </c>
      <c r="Z7" t="str">
        <v>0.141008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0.117305</v>
      </c>
      <c r="AG7" t="str">
        <v>1.000000</v>
      </c>
      <c r="AH7" t="str">
        <v>44.24</v>
      </c>
      <c r="AI7" t="str">
        <v>39.97</v>
      </c>
      <c r="AJ7" t="str">
        <v>21.14</v>
      </c>
      <c r="AK7" t="str">
        <v>21.74</v>
      </c>
      <c r="AL7" t="str">
        <f>(AK7-AJ7)*(AJ7*0+0)+AK7</f>
        <v>21.74</v>
      </c>
      <c r="AM7" t="str">
        <v>93.13</v>
      </c>
      <c r="AN7" t="str">
        <v>1.2</v>
      </c>
      <c r="AO7" t="str">
        <v>-15.6</v>
      </c>
      <c r="AP7" t="str">
        <v>1431.7</v>
      </c>
      <c r="AQ7" t="str">
        <v>2</v>
      </c>
      <c r="AR7" t="str">
        <v>3.946</v>
      </c>
      <c r="AS7" t="str">
        <v>22:19:51</v>
      </c>
      <c r="AT7" t="str">
        <v>2025-12-01</v>
      </c>
      <c r="AU7" t="str">
        <v>4.99</v>
      </c>
      <c r="AV7" t="str">
        <v>1</v>
      </c>
      <c r="AW7" t="str">
        <v>0.000</v>
      </c>
      <c r="AX7" t="str">
        <v>0.000</v>
      </c>
      <c r="AY7" t="str">
        <v>0.001</v>
      </c>
      <c r="AZ7" t="str">
        <v>0.026</v>
      </c>
      <c r="BA7" t="str">
        <v>0.222</v>
      </c>
      <c r="BB7" t="str">
        <v>0.469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2.473136</v>
      </c>
      <c r="CD7" t="str">
        <v>2.438379</v>
      </c>
      <c r="CE7" t="str">
        <v>0.607094</v>
      </c>
      <c r="CF7" t="str">
        <v>0.573149</v>
      </c>
      <c r="CG7" t="str">
        <v>0.318335</v>
      </c>
      <c r="CH7" t="str">
        <v>0.007875</v>
      </c>
      <c r="CI7" t="str">
        <v>0.060735</v>
      </c>
      <c r="CJ7" t="str">
        <v>0.108667</v>
      </c>
      <c r="CK7" t="str">
        <v>89.503166</v>
      </c>
      <c r="CL7" t="str">
        <v>0.000207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PSF-01031_20251201222140_c30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22:22:05</v>
      </c>
      <c r="C8" t="str">
        <v>2025-12-01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0.004553</v>
      </c>
      <c r="K8" t="str">
        <f>BH8+(BI8*AN8)+(BJ8*AN8*POWER(V8,2))+(BK8*AN8*V8)+(BL8*POWER(AN8,2))</f>
        <v>0.034865</v>
      </c>
      <c r="L8" t="str">
        <f>((M8/1000)*(1000-((T8+S8)/2)))/(T8-S8)</f>
        <v>0.004027</v>
      </c>
      <c r="M8" t="str">
        <f>(AN8*(S8-R8))/(100*U8*(1000-S8))*1000</f>
        <v>0.056915</v>
      </c>
      <c r="N8" t="str">
        <v>1.203292</v>
      </c>
      <c r="O8" t="str">
        <v>1.010030</v>
      </c>
      <c r="P8" t="str">
        <f>0.61365*EXP((17.502*AL8)/(240.97+AL8))</f>
        <v>2.493449</v>
      </c>
      <c r="Q8" t="str">
        <f>P8-N8</f>
        <v>1.290157</v>
      </c>
      <c r="R8" t="str">
        <v>10.844942</v>
      </c>
      <c r="S8" t="str">
        <v>12.920042</v>
      </c>
      <c r="T8" t="str">
        <f>(P8/AM8)*1000</f>
        <v>26.772778</v>
      </c>
      <c r="U8" t="str">
        <f>V8*BG8</f>
        <v>0.441786</v>
      </c>
      <c r="V8" t="str">
        <v>7.500000</v>
      </c>
      <c r="W8" t="str">
        <v>PSF-01031_20251201222205_d08</v>
      </c>
      <c r="X8" t="str">
        <v>78.342674</v>
      </c>
      <c r="Y8" t="str">
        <v>357.587463</v>
      </c>
      <c r="Z8" t="str">
        <v>0.780913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1.323491</v>
      </c>
      <c r="AG8" t="str">
        <v>1.000000</v>
      </c>
      <c r="AH8" t="str">
        <v>47.64</v>
      </c>
      <c r="AI8" t="str">
        <v>39.99</v>
      </c>
      <c r="AJ8" t="str">
        <v>21.19</v>
      </c>
      <c r="AK8" t="str">
        <v>20.98</v>
      </c>
      <c r="AL8" t="str">
        <f>(AK8-AJ8)*(AJ8*0+0)+AK8</f>
        <v>20.98</v>
      </c>
      <c r="AM8" t="str">
        <v>93.13</v>
      </c>
      <c r="AN8" t="str">
        <v>1.2</v>
      </c>
      <c r="AO8" t="str">
        <v>-16.1</v>
      </c>
      <c r="AP8" t="str">
        <v>1443.4</v>
      </c>
      <c r="AQ8" t="str">
        <v>4</v>
      </c>
      <c r="AR8" t="str">
        <v>3.944</v>
      </c>
      <c r="AS8" t="str">
        <v>22:19:51</v>
      </c>
      <c r="AT8" t="str">
        <v>2025-12-01</v>
      </c>
      <c r="AU8" t="str">
        <v>4.99</v>
      </c>
      <c r="AV8" t="str">
        <v>1</v>
      </c>
      <c r="AW8" t="str">
        <v>-0.000</v>
      </c>
      <c r="AX8" t="str">
        <v>0.000</v>
      </c>
      <c r="AY8" t="str">
        <v>0.002</v>
      </c>
      <c r="AZ8" t="str">
        <v>0.241</v>
      </c>
      <c r="BA8" t="str">
        <v>0.440</v>
      </c>
      <c r="BB8" t="str">
        <v>-0.012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2.473157</v>
      </c>
      <c r="CD8" t="str">
        <v>2.443190</v>
      </c>
      <c r="CE8" t="str">
        <v>0.607217</v>
      </c>
      <c r="CF8" t="str">
        <v>0.572324</v>
      </c>
      <c r="CG8" t="str">
        <v>0.317589</v>
      </c>
      <c r="CH8" t="str">
        <v>-0.001363</v>
      </c>
      <c r="CI8" t="str">
        <v>0.063803</v>
      </c>
      <c r="CJ8" t="str">
        <v>0.110656</v>
      </c>
      <c r="CK8" t="str">
        <v>78.342674</v>
      </c>
      <c r="CL8" t="str">
        <v>0.000211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PSF-01031_20251201222205_d08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22:22:28</v>
      </c>
      <c r="C9" t="str">
        <v>2025-12-01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0.003415</v>
      </c>
      <c r="K9" t="str">
        <f>BH9+(BI9*AN9)+(BJ9*AN9*POWER(V9,2))+(BK9*AN9*V9)+(BL9*POWER(AN9,2))</f>
        <v>0.035747</v>
      </c>
      <c r="L9" t="str">
        <f>((M9/1000)*(1000-((T9+S9)/2)))/(T9-S9)</f>
        <v>0.003117</v>
      </c>
      <c r="M9" t="str">
        <f>(AN9*(S9-R9))/(100*U9*(1000-S9))*1000</f>
        <v>0.045655</v>
      </c>
      <c r="N9" t="str">
        <v>1.164763</v>
      </c>
      <c r="O9" t="str">
        <v>1.013495</v>
      </c>
      <c r="P9" t="str">
        <f>0.61365*EXP((17.502*AL9)/(240.97+AL9))</f>
        <v>2.502022</v>
      </c>
      <c r="Q9" t="str">
        <f>P9-N9</f>
        <v>1.337258</v>
      </c>
      <c r="R9" t="str">
        <v>10.881155</v>
      </c>
      <c r="S9" t="str">
        <v>12.505209</v>
      </c>
      <c r="T9" t="str">
        <f>(P9/AM9)*1000</f>
        <v>26.862370</v>
      </c>
      <c r="U9" t="str">
        <f>V9*BG9</f>
        <v>0.441786</v>
      </c>
      <c r="V9" t="str">
        <v>7.500000</v>
      </c>
      <c r="W9" t="str">
        <v>PSF-01031_20251201222228_bc3</v>
      </c>
      <c r="X9" t="str">
        <v>105.008842</v>
      </c>
      <c r="Y9" t="str">
        <v>200.908539</v>
      </c>
      <c r="Z9" t="str">
        <v>0.477330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1.057755</v>
      </c>
      <c r="AG9" t="str">
        <v>1.000000</v>
      </c>
      <c r="AH9" t="str">
        <v>45.96</v>
      </c>
      <c r="AI9" t="str">
        <v>39.99</v>
      </c>
      <c r="AJ9" t="str">
        <v>21.25</v>
      </c>
      <c r="AK9" t="str">
        <v>21.04</v>
      </c>
      <c r="AL9" t="str">
        <f>(AK9-AJ9)*(AJ9*0+0)+AK9</f>
        <v>21.04</v>
      </c>
      <c r="AM9" t="str">
        <v>93.14</v>
      </c>
      <c r="AN9" t="str">
        <v>1.2</v>
      </c>
      <c r="AO9" t="str">
        <v>-16.7</v>
      </c>
      <c r="AP9" t="str">
        <v>1464.5</v>
      </c>
      <c r="AQ9" t="str">
        <v>6</v>
      </c>
      <c r="AR9" t="str">
        <v>3.944</v>
      </c>
      <c r="AS9" t="str">
        <v>22:19:51</v>
      </c>
      <c r="AT9" t="str">
        <v>2025-12-01</v>
      </c>
      <c r="AU9" t="str">
        <v>4.99</v>
      </c>
      <c r="AV9" t="str">
        <v>1</v>
      </c>
      <c r="AW9" t="str">
        <v>0.000</v>
      </c>
      <c r="AX9" t="str">
        <v>0.000</v>
      </c>
      <c r="AY9" t="str">
        <v>-0.000</v>
      </c>
      <c r="AZ9" t="str">
        <v>0.171</v>
      </c>
      <c r="BA9" t="str">
        <v>0.045</v>
      </c>
      <c r="BB9" t="str">
        <v>0.468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2.473158</v>
      </c>
      <c r="CD9" t="str">
        <v>2.440809</v>
      </c>
      <c r="CE9" t="str">
        <v>0.607372</v>
      </c>
      <c r="CF9" t="str">
        <v>0.571136</v>
      </c>
      <c r="CG9" t="str">
        <v>0.316911</v>
      </c>
      <c r="CH9" t="str">
        <v>-0.001338</v>
      </c>
      <c r="CI9" t="str">
        <v>0.066506</v>
      </c>
      <c r="CJ9" t="str">
        <v>0.111858</v>
      </c>
      <c r="CK9" t="str">
        <v>105.008842</v>
      </c>
      <c r="CL9" t="str">
        <v>0.000211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PSF-01031_20251201222228_bc3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22:23:28</v>
      </c>
      <c r="C10" t="str">
        <v>2025-12-01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0.003125</v>
      </c>
      <c r="K10" t="str">
        <f>BH10+(BI10*AN10)+(BJ10*AN10*POWER(V10,2))+(BK10*AN10*V10)+(BL10*POWER(AN10,2))</f>
        <v>0.034732</v>
      </c>
      <c r="L10" t="str">
        <f>((M10/1000)*(1000-((T10+S10)/2)))/(T10-S10)</f>
        <v>0.002867</v>
      </c>
      <c r="M10" t="str">
        <f>(AN10*(S10-R10))/(100*U10*(1000-S10))*1000</f>
        <v>0.031733</v>
      </c>
      <c r="N10" t="str">
        <v>1.132452</v>
      </c>
      <c r="O10" t="str">
        <v>1.024213</v>
      </c>
      <c r="P10" t="str">
        <f>0.61365*EXP((17.502*AL10)/(240.97+AL10))</f>
        <v>2.145094</v>
      </c>
      <c r="Q10" t="str">
        <f>P10-N10</f>
        <v>1.012642</v>
      </c>
      <c r="R10" t="str">
        <v>10.998235</v>
      </c>
      <c r="S10" t="str">
        <v>12.160524</v>
      </c>
      <c r="T10" t="str">
        <f>(P10/AM10)*1000</f>
        <v>23.034504</v>
      </c>
      <c r="U10" t="str">
        <f>V10*BG10</f>
        <v>0.441786</v>
      </c>
      <c r="V10" t="str">
        <v>7.500000</v>
      </c>
      <c r="W10" t="str">
        <v>PSF-01031_20251201222328_cbb</v>
      </c>
      <c r="X10" t="str">
        <v>90.502739</v>
      </c>
      <c r="Y10" t="str">
        <v>432.425751</v>
      </c>
      <c r="Z10" t="str">
        <v>0.790709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1.169119</v>
      </c>
      <c r="AG10" t="str">
        <v>1.000000</v>
      </c>
      <c r="AH10" t="str">
        <v>44.28</v>
      </c>
      <c r="AI10" t="str">
        <v>40.05</v>
      </c>
      <c r="AJ10" t="str">
        <v>21.40</v>
      </c>
      <c r="AK10" t="str">
        <v>18.56</v>
      </c>
      <c r="AL10" t="str">
        <f>(AK10-AJ10)*(AJ10*0+0)+AK10</f>
        <v>18.56</v>
      </c>
      <c r="AM10" t="str">
        <v>93.13</v>
      </c>
      <c r="AN10" t="str">
        <v>1.2</v>
      </c>
      <c r="AO10" t="str">
        <v>-16.0</v>
      </c>
      <c r="AP10" t="str">
        <v>1439.4</v>
      </c>
      <c r="AQ10" t="str">
        <v>4</v>
      </c>
      <c r="AR10" t="str">
        <v>3.941</v>
      </c>
      <c r="AS10" t="str">
        <v>22:19:51</v>
      </c>
      <c r="AT10" t="str">
        <v>2025-12-01</v>
      </c>
      <c r="AU10" t="str">
        <v>4.99</v>
      </c>
      <c r="AV10" t="str">
        <v>1</v>
      </c>
      <c r="AW10" t="str">
        <v>-0.000</v>
      </c>
      <c r="AX10" t="str">
        <v>-0.000</v>
      </c>
      <c r="AY10" t="str">
        <v>0.000</v>
      </c>
      <c r="AZ10" t="str">
        <v>0.120</v>
      </c>
      <c r="BA10" t="str">
        <v>0.083</v>
      </c>
      <c r="BB10" t="str">
        <v>0.438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2.473215</v>
      </c>
      <c r="CD10" t="str">
        <v>2.438389</v>
      </c>
      <c r="CE10" t="str">
        <v>0.607194</v>
      </c>
      <c r="CF10" t="str">
        <v>0.572518</v>
      </c>
      <c r="CG10" t="str">
        <v>0.315020</v>
      </c>
      <c r="CH10" t="str">
        <v>-0.030544</v>
      </c>
      <c r="CI10" t="str">
        <v>0.073732</v>
      </c>
      <c r="CJ10" t="str">
        <v>0.110158</v>
      </c>
      <c r="CK10" t="str">
        <v>90.502739</v>
      </c>
      <c r="CL10" t="str">
        <v>0.000211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PSF-01031_20251201222328_cbb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22:23:51</v>
      </c>
      <c r="C11" t="str">
        <v>2025-12-01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0.001461</v>
      </c>
      <c r="K11" t="str">
        <f>BH11+(BI11*AN11)+(BJ11*AN11*POWER(V11,2))+(BK11*AN11*V11)+(BL11*POWER(AN11,2))</f>
        <v>0.033495</v>
      </c>
      <c r="L11" t="str">
        <f>((M11/1000)*(1000-((T11+S11)/2)))/(T11-S11)</f>
        <v>0.001400</v>
      </c>
      <c r="M11" t="str">
        <f>(AN11*(S11-R11))/(100*U11*(1000-S11))*1000</f>
        <v>0.020491</v>
      </c>
      <c r="N11" t="str">
        <v>1.101941</v>
      </c>
      <c r="O11" t="str">
        <v>1.029430</v>
      </c>
      <c r="P11" t="str">
        <f>0.61365*EXP((17.502*AL11)/(240.97+AL11))</f>
        <v>2.439457</v>
      </c>
      <c r="Q11" t="str">
        <f>P11-N11</f>
        <v>1.337516</v>
      </c>
      <c r="R11" t="str">
        <v>11.053217</v>
      </c>
      <c r="S11" t="str">
        <v>11.831781</v>
      </c>
      <c r="T11" t="str">
        <f>(P11/AM11)*1000</f>
        <v>26.192984</v>
      </c>
      <c r="U11" t="str">
        <f>V11*BG11</f>
        <v>0.441786</v>
      </c>
      <c r="V11" t="str">
        <v>7.500000</v>
      </c>
      <c r="W11" t="str">
        <v>PSF-01031_20251201222351_dc4</v>
      </c>
      <c r="X11" t="str">
        <v>95.286011</v>
      </c>
      <c r="Y11" t="str">
        <v>273.961914</v>
      </c>
      <c r="Z11" t="str">
        <v>0.652192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1.081561</v>
      </c>
      <c r="AG11" t="str">
        <v>1.000000</v>
      </c>
      <c r="AH11" t="str">
        <v>42.93</v>
      </c>
      <c r="AI11" t="str">
        <v>40.11</v>
      </c>
      <c r="AJ11" t="str">
        <v>21.45</v>
      </c>
      <c r="AK11" t="str">
        <v>20.63</v>
      </c>
      <c r="AL11" t="str">
        <f>(AK11-AJ11)*(AJ11*0+0)+AK11</f>
        <v>20.63</v>
      </c>
      <c r="AM11" t="str">
        <v>93.13</v>
      </c>
      <c r="AN11" t="str">
        <v>1.1</v>
      </c>
      <c r="AO11" t="str">
        <v>-16.3</v>
      </c>
      <c r="AP11" t="str">
        <v>1518.2</v>
      </c>
      <c r="AQ11" t="str">
        <v>4</v>
      </c>
      <c r="AR11" t="str">
        <v>3.904</v>
      </c>
      <c r="AS11" t="str">
        <v>22:19:51</v>
      </c>
      <c r="AT11" t="str">
        <v>2025-12-01</v>
      </c>
      <c r="AU11" t="str">
        <v>4.99</v>
      </c>
      <c r="AV11" t="str">
        <v>1</v>
      </c>
      <c r="AW11" t="str">
        <v>-0.000</v>
      </c>
      <c r="AX11" t="str">
        <v>0.000</v>
      </c>
      <c r="AY11" t="str">
        <v>0.000</v>
      </c>
      <c r="AZ11" t="str">
        <v>0.101</v>
      </c>
      <c r="BA11" t="str">
        <v>-0.023</v>
      </c>
      <c r="BB11" t="str">
        <v>0.303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2.473295</v>
      </c>
      <c r="CD11" t="str">
        <v>2.436450</v>
      </c>
      <c r="CE11" t="str">
        <v>0.606978</v>
      </c>
      <c r="CF11" t="str">
        <v>0.571920</v>
      </c>
      <c r="CG11" t="str">
        <v>0.314287</v>
      </c>
      <c r="CH11" t="str">
        <v>-0.008301</v>
      </c>
      <c r="CI11" t="str">
        <v>0.076342</v>
      </c>
      <c r="CJ11" t="str">
        <v>0.110572</v>
      </c>
      <c r="CK11" t="str">
        <v>95.286011</v>
      </c>
      <c r="CL11" t="str">
        <v>0.000212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PSF-01031_20251201222351_dc4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22:24:13</v>
      </c>
      <c r="C12" t="str">
        <v>2025-12-01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0.003470</v>
      </c>
      <c r="K12" t="str">
        <f>BH12+(BI12*AN12)+(BJ12*AN12*POWER(V12,2))+(BK12*AN12*V12)+(BL12*POWER(AN12,2))</f>
        <v>0.034416</v>
      </c>
      <c r="L12" t="str">
        <f>((M12/1000)*(1000-((T12+S12)/2)))/(T12-S12)</f>
        <v>0.003152</v>
      </c>
      <c r="M12" t="str">
        <f>(AN12*(S12-R12))/(100*U12*(1000-S12))*1000</f>
        <v>0.041236</v>
      </c>
      <c r="N12" t="str">
        <v>1.175777</v>
      </c>
      <c r="O12" t="str">
        <v>1.033895</v>
      </c>
      <c r="P12" t="str">
        <f>0.61365*EXP((17.502*AL12)/(240.97+AL12))</f>
        <v>2.370956</v>
      </c>
      <c r="Q12" t="str">
        <f>P12-N12</f>
        <v>1.195179</v>
      </c>
      <c r="R12" t="str">
        <v>11.101989</v>
      </c>
      <c r="S12" t="str">
        <v>12.625523</v>
      </c>
      <c r="T12" t="str">
        <f>(P12/AM12)*1000</f>
        <v>25.459381</v>
      </c>
      <c r="U12" t="str">
        <f>V12*BG12</f>
        <v>0.441786</v>
      </c>
      <c r="V12" t="str">
        <v>7.500000</v>
      </c>
      <c r="W12" t="str">
        <v>PSF-01031_20251201222413_c11</v>
      </c>
      <c r="X12" t="str">
        <v>104.197021</v>
      </c>
      <c r="Y12" t="str">
        <v>491.244781</v>
      </c>
      <c r="Z12" t="str">
        <v>0.787892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1.643539</v>
      </c>
      <c r="AG12" t="str">
        <v>1.000000</v>
      </c>
      <c r="AH12" t="str">
        <v>45.64</v>
      </c>
      <c r="AI12" t="str">
        <v>40.13</v>
      </c>
      <c r="AJ12" t="str">
        <v>21.52</v>
      </c>
      <c r="AK12" t="str">
        <v>20.17</v>
      </c>
      <c r="AL12" t="str">
        <f>(AK12-AJ12)*(AJ12*0+0)+AK12</f>
        <v>20.17</v>
      </c>
      <c r="AM12" t="str">
        <v>93.13</v>
      </c>
      <c r="AN12" t="str">
        <v>1.2</v>
      </c>
      <c r="AO12" t="str">
        <v>-16.0</v>
      </c>
      <c r="AP12" t="str">
        <v>1457.4</v>
      </c>
      <c r="AQ12" t="str">
        <v>5</v>
      </c>
      <c r="AR12" t="str">
        <v>3.938</v>
      </c>
      <c r="AS12" t="str">
        <v>22:19:51</v>
      </c>
      <c r="AT12" t="str">
        <v>2025-12-01</v>
      </c>
      <c r="AU12" t="str">
        <v>4.99</v>
      </c>
      <c r="AV12" t="str">
        <v>1</v>
      </c>
      <c r="AW12" t="str">
        <v>0.000</v>
      </c>
      <c r="AX12" t="str">
        <v>0.000</v>
      </c>
      <c r="AY12" t="str">
        <v>0.001</v>
      </c>
      <c r="AZ12" t="str">
        <v>0.140</v>
      </c>
      <c r="BA12" t="str">
        <v>0.288</v>
      </c>
      <c r="BB12" t="str">
        <v>0.369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2.473319</v>
      </c>
      <c r="CD12" t="str">
        <v>2.440305</v>
      </c>
      <c r="CE12" t="str">
        <v>0.607139</v>
      </c>
      <c r="CF12" t="str">
        <v>0.572398</v>
      </c>
      <c r="CG12" t="str">
        <v>0.313515</v>
      </c>
      <c r="CH12" t="str">
        <v>-0.014142</v>
      </c>
      <c r="CI12" t="str">
        <v>0.078879</v>
      </c>
      <c r="CJ12" t="str">
        <v>0.111558</v>
      </c>
      <c r="CK12" t="str">
        <v>104.197021</v>
      </c>
      <c r="CL12" t="str">
        <v>0.000210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PSF-01031_20251201222413_c11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22:24:34</v>
      </c>
      <c r="C13" t="str">
        <v>2025-12-01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0.001952</v>
      </c>
      <c r="K13" t="str">
        <f>BH13+(BI13*AN13)+(BJ13*AN13*POWER(V13,2))+(BK13*AN13*V13)+(BL13*POWER(AN13,2))</f>
        <v>0.035299</v>
      </c>
      <c r="L13" t="str">
        <f>((M13/1000)*(1000-((T13+S13)/2)))/(T13-S13)</f>
        <v>0.001850</v>
      </c>
      <c r="M13" t="str">
        <f>(AN13*(S13-R13))/(100*U13*(1000-S13))*1000</f>
        <v>0.025522</v>
      </c>
      <c r="N13" t="str">
        <v>1.124216</v>
      </c>
      <c r="O13" t="str">
        <v>1.038554</v>
      </c>
      <c r="P13" t="str">
        <f>0.61365*EXP((17.502*AL13)/(240.97+AL13))</f>
        <v>2.384738</v>
      </c>
      <c r="Q13" t="str">
        <f>P13-N13</f>
        <v>1.260522</v>
      </c>
      <c r="R13" t="str">
        <v>11.152051</v>
      </c>
      <c r="S13" t="str">
        <v>12.071896</v>
      </c>
      <c r="T13" t="str">
        <f>(P13/AM13)*1000</f>
        <v>25.607447</v>
      </c>
      <c r="U13" t="str">
        <f>V13*BG13</f>
        <v>0.441786</v>
      </c>
      <c r="V13" t="str">
        <v>7.500000</v>
      </c>
      <c r="W13" t="str">
        <v>PSF-01031_20251201222434_6b5</v>
      </c>
      <c r="X13" t="str">
        <v>90.200546</v>
      </c>
      <c r="Y13" t="str">
        <v>127.918839</v>
      </c>
      <c r="Z13" t="str">
        <v>0.294861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0.557725</v>
      </c>
      <c r="AG13" t="str">
        <v>1.000000</v>
      </c>
      <c r="AH13" t="str">
        <v>43.49</v>
      </c>
      <c r="AI13" t="str">
        <v>40.17</v>
      </c>
      <c r="AJ13" t="str">
        <v>21.57</v>
      </c>
      <c r="AK13" t="str">
        <v>20.26</v>
      </c>
      <c r="AL13" t="str">
        <f>(AK13-AJ13)*(AJ13*0+0)+AK13</f>
        <v>20.26</v>
      </c>
      <c r="AM13" t="str">
        <v>93.13</v>
      </c>
      <c r="AN13" t="str">
        <v>1.2</v>
      </c>
      <c r="AO13" t="str">
        <v>-16.3</v>
      </c>
      <c r="AP13" t="str">
        <v>1443.6</v>
      </c>
      <c r="AQ13" t="str">
        <v>5</v>
      </c>
      <c r="AR13" t="str">
        <v>3.936</v>
      </c>
      <c r="AS13" t="str">
        <v>22:19:51</v>
      </c>
      <c r="AT13" t="str">
        <v>2025-12-01</v>
      </c>
      <c r="AU13" t="str">
        <v>4.99</v>
      </c>
      <c r="AV13" t="str">
        <v>1</v>
      </c>
      <c r="AW13" t="str">
        <v>-0.000</v>
      </c>
      <c r="AX13" t="str">
        <v>-0.000</v>
      </c>
      <c r="AY13" t="str">
        <v>0.000</v>
      </c>
      <c r="AZ13" t="str">
        <v>-0.369</v>
      </c>
      <c r="BA13" t="str">
        <v>-0.411</v>
      </c>
      <c r="BB13" t="str">
        <v>-0.404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2.473370</v>
      </c>
      <c r="CD13" t="str">
        <v>2.437224</v>
      </c>
      <c r="CE13" t="str">
        <v>0.607293</v>
      </c>
      <c r="CF13" t="str">
        <v>0.571962</v>
      </c>
      <c r="CG13" t="str">
        <v>0.312801</v>
      </c>
      <c r="CH13" t="str">
        <v>-0.013741</v>
      </c>
      <c r="CI13" t="str">
        <v>0.081200</v>
      </c>
      <c r="CJ13" t="str">
        <v>0.111110</v>
      </c>
      <c r="CK13" t="str">
        <v>90.200546</v>
      </c>
      <c r="CL13" t="str">
        <v>0.000210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PSF-01031_20251201222434_6b5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22:25:38</v>
      </c>
      <c r="C14" t="str">
        <v>2025-12-01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0.000438</v>
      </c>
      <c r="K14" t="str">
        <f>BH14+(BI14*AN14)+(BJ14*AN14*POWER(V14,2))+(BK14*AN14*V14)+(BL14*POWER(AN14,2))</f>
        <v>0.033132</v>
      </c>
      <c r="L14" t="str">
        <f>((M14/1000)*(1000-((T14+S14)/2)))/(T14-S14)</f>
        <v>0.000432</v>
      </c>
      <c r="M14" t="str">
        <f>(AN14*(S14-R14))/(100*U14*(1000-S14))*1000</f>
        <v>0.002945</v>
      </c>
      <c r="N14" t="str">
        <v>1.063148</v>
      </c>
      <c r="O14" t="str">
        <v>1.052609</v>
      </c>
      <c r="P14" t="str">
        <f>0.61365*EXP((17.502*AL14)/(240.97+AL14))</f>
        <v>1.688361</v>
      </c>
      <c r="Q14" t="str">
        <f>P14-N14</f>
        <v>0.625213</v>
      </c>
      <c r="R14" t="str">
        <v>11.302853</v>
      </c>
      <c r="S14" t="str">
        <v>11.416013</v>
      </c>
      <c r="T14" t="str">
        <f>(P14/AM14)*1000</f>
        <v>18.129517</v>
      </c>
      <c r="U14" t="str">
        <f>V14*BG14</f>
        <v>0.441786</v>
      </c>
      <c r="V14" t="str">
        <v>7.500000</v>
      </c>
      <c r="W14" t="str">
        <v>PSF-01031_20251201222538_83f</v>
      </c>
      <c r="X14" t="str">
        <v>90.970520</v>
      </c>
      <c r="Y14" t="str">
        <v>382.491577</v>
      </c>
      <c r="Z14" t="str">
        <v>0.762163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0.427038</v>
      </c>
      <c r="AG14" t="str">
        <v>1.000000</v>
      </c>
      <c r="AH14" t="str">
        <v>40.63</v>
      </c>
      <c r="AI14" t="str">
        <v>40.23</v>
      </c>
      <c r="AJ14" t="str">
        <v>21.77</v>
      </c>
      <c r="AK14" t="str">
        <v>14.79</v>
      </c>
      <c r="AL14" t="str">
        <f>(AK14-AJ14)*(AJ14*0+0)+AK14</f>
        <v>14.79</v>
      </c>
      <c r="AM14" t="str">
        <v>93.13</v>
      </c>
      <c r="AN14" t="str">
        <v>1.1</v>
      </c>
      <c r="AO14" t="str">
        <v>-16.0</v>
      </c>
      <c r="AP14" t="str">
        <v>1511.7</v>
      </c>
      <c r="AQ14" t="str">
        <v>1</v>
      </c>
      <c r="AR14" t="str">
        <v>3.935</v>
      </c>
      <c r="AS14" t="str">
        <v>22:19:51</v>
      </c>
      <c r="AT14" t="str">
        <v>2025-12-01</v>
      </c>
      <c r="AU14" t="str">
        <v>4.99</v>
      </c>
      <c r="AV14" t="str">
        <v>1</v>
      </c>
      <c r="AW14" t="str">
        <v>-0.000</v>
      </c>
      <c r="AX14" t="str">
        <v>-0.000</v>
      </c>
      <c r="AY14" t="str">
        <v>0.001</v>
      </c>
      <c r="AZ14" t="str">
        <v>-0.080</v>
      </c>
      <c r="BA14" t="str">
        <v>0.109</v>
      </c>
      <c r="BB14" t="str">
        <v>-0.001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2.473423</v>
      </c>
      <c r="CD14" t="str">
        <v>2.433079</v>
      </c>
      <c r="CE14" t="str">
        <v>0.606915</v>
      </c>
      <c r="CF14" t="str">
        <v>0.572366</v>
      </c>
      <c r="CG14" t="str">
        <v>0.310349</v>
      </c>
      <c r="CH14" t="str">
        <v>-0.075162</v>
      </c>
      <c r="CI14" t="str">
        <v>0.088336</v>
      </c>
      <c r="CJ14" t="str">
        <v>0.108041</v>
      </c>
      <c r="CK14" t="str">
        <v>90.970520</v>
      </c>
      <c r="CL14" t="str">
        <v>0.000212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PSF-01031_20251201222538_83f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22:26:20</v>
      </c>
      <c r="C15" t="str">
        <v>2025-12-01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0.012095</v>
      </c>
      <c r="K15" t="str">
        <f>BH15+(BI15*AN15)+(BJ15*AN15*POWER(V15,2))+(BK15*AN15*V15)+(BL15*POWER(AN15,2))</f>
        <v>0.034723</v>
      </c>
      <c r="L15" t="str">
        <f>((M15/1000)*(1000-((T15+S15)/2)))/(T15-S15)</f>
        <v>0.008971</v>
      </c>
      <c r="M15" t="str">
        <f>(AN15*(S15-R15))/(100*U15*(1000-S15))*1000</f>
        <v>0.102142</v>
      </c>
      <c r="N15" t="str">
        <v>1.410570</v>
      </c>
      <c r="O15" t="str">
        <v>1.063086</v>
      </c>
      <c r="P15" t="str">
        <f>0.61365*EXP((17.502*AL15)/(240.97+AL15))</f>
        <v>2.449122</v>
      </c>
      <c r="Q15" t="str">
        <f>P15-N15</f>
        <v>1.038552</v>
      </c>
      <c r="R15" t="str">
        <v>11.413909</v>
      </c>
      <c r="S15" t="str">
        <v>15.144702</v>
      </c>
      <c r="T15" t="str">
        <f>(P15/AM15)*1000</f>
        <v>26.295204</v>
      </c>
      <c r="U15" t="str">
        <f>V15*BG15</f>
        <v>0.441786</v>
      </c>
      <c r="V15" t="str">
        <v>7.500000</v>
      </c>
      <c r="W15" t="str">
        <v>PSF-01031_20251201222620_a69</v>
      </c>
      <c r="X15" t="str">
        <v>80.127243</v>
      </c>
      <c r="Y15" t="str">
        <v>318.590637</v>
      </c>
      <c r="Z15" t="str">
        <v>0.748495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0.603401</v>
      </c>
      <c r="AG15" t="str">
        <v>1.000000</v>
      </c>
      <c r="AH15" t="str">
        <v>53.52</v>
      </c>
      <c r="AI15" t="str">
        <v>40.33</v>
      </c>
      <c r="AJ15" t="str">
        <v>21.89</v>
      </c>
      <c r="AK15" t="str">
        <v>20.69</v>
      </c>
      <c r="AL15" t="str">
        <f>(AK15-AJ15)*(AJ15*0+0)+AK15</f>
        <v>20.69</v>
      </c>
      <c r="AM15" t="str">
        <v>93.14</v>
      </c>
      <c r="AN15" t="str">
        <v>1.2</v>
      </c>
      <c r="AO15" t="str">
        <v>-16.2</v>
      </c>
      <c r="AP15" t="str">
        <v>1463.8</v>
      </c>
      <c r="AQ15" t="str">
        <v>2</v>
      </c>
      <c r="AR15" t="str">
        <v>3.931</v>
      </c>
      <c r="AS15" t="str">
        <v>22:19:51</v>
      </c>
      <c r="AT15" t="str">
        <v>2025-12-01</v>
      </c>
      <c r="AU15" t="str">
        <v>4.99</v>
      </c>
      <c r="AV15" t="str">
        <v>1</v>
      </c>
      <c r="AW15" t="str">
        <v>0.002</v>
      </c>
      <c r="AX15" t="str">
        <v>0.002</v>
      </c>
      <c r="AY15" t="str">
        <v>0.002</v>
      </c>
      <c r="AZ15" t="str">
        <v>-0.083</v>
      </c>
      <c r="BA15" t="str">
        <v>0.281</v>
      </c>
      <c r="BB15" t="str">
        <v>-0.742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2.473554</v>
      </c>
      <c r="CD15" t="str">
        <v>2.451252</v>
      </c>
      <c r="CE15" t="str">
        <v>0.607193</v>
      </c>
      <c r="CF15" t="str">
        <v>0.572006</v>
      </c>
      <c r="CG15" t="str">
        <v>0.308850</v>
      </c>
      <c r="CH15" t="str">
        <v>-0.012518</v>
      </c>
      <c r="CI15" t="str">
        <v>0.092970</v>
      </c>
      <c r="CJ15" t="str">
        <v>0.108608</v>
      </c>
      <c r="CK15" t="str">
        <v>80.127243</v>
      </c>
      <c r="CL15" t="str">
        <v>0.000215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PSF-01031_20251201222620_a69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22:27:17</v>
      </c>
      <c r="C16" t="str">
        <v>2025-12-01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0.000303</v>
      </c>
      <c r="K16" t="str">
        <f>BH16+(BI16*AN16)+(BJ16*AN16*POWER(V16,2))+(BK16*AN16*V16)+(BL16*POWER(AN16,2))</f>
        <v>0.032008</v>
      </c>
      <c r="L16" t="str">
        <f>((M16/1000)*(1000-((T16+S16)/2)))/(T16-S16)</f>
        <v>0.000301</v>
      </c>
      <c r="M16" t="str">
        <f>(AN16*(S16-R16))/(100*U16*(1000-S16))*1000</f>
        <v>0.003167</v>
      </c>
      <c r="N16" t="str">
        <v>1.088976</v>
      </c>
      <c r="O16" t="str">
        <v>1.077244</v>
      </c>
      <c r="P16" t="str">
        <f>0.61365*EXP((17.502*AL16)/(240.97+AL16))</f>
        <v>2.053795</v>
      </c>
      <c r="Q16" t="str">
        <f>P16-N16</f>
        <v>0.964819</v>
      </c>
      <c r="R16" t="str">
        <v>11.565024</v>
      </c>
      <c r="S16" t="str">
        <v>11.690968</v>
      </c>
      <c r="T16" t="str">
        <f>(P16/AM16)*1000</f>
        <v>22.049023</v>
      </c>
      <c r="U16" t="str">
        <f>V16*BG16</f>
        <v>0.441786</v>
      </c>
      <c r="V16" t="str">
        <v>7.500000</v>
      </c>
      <c r="W16" t="str">
        <v>PSF-01031_20251201222717_226</v>
      </c>
      <c r="X16" t="str">
        <v>97.859863</v>
      </c>
      <c r="Y16" t="str">
        <v>493.871918</v>
      </c>
      <c r="Z16" t="str">
        <v>0.801852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1.605495</v>
      </c>
      <c r="AG16" t="str">
        <v>1.000000</v>
      </c>
      <c r="AH16" t="str">
        <v>40.85</v>
      </c>
      <c r="AI16" t="str">
        <v>40.41</v>
      </c>
      <c r="AJ16" t="str">
        <v>22.08</v>
      </c>
      <c r="AK16" t="str">
        <v>17.87</v>
      </c>
      <c r="AL16" t="str">
        <f>(AK16-AJ16)*(AJ16*0+0)+AK16</f>
        <v>17.87</v>
      </c>
      <c r="AM16" t="str">
        <v>93.15</v>
      </c>
      <c r="AN16" t="str">
        <v>1.1</v>
      </c>
      <c r="AO16" t="str">
        <v>-15.3</v>
      </c>
      <c r="AP16" t="str">
        <v>1496.4</v>
      </c>
      <c r="AQ16" t="str">
        <v>5</v>
      </c>
      <c r="AR16" t="str">
        <v>3.930</v>
      </c>
      <c r="AS16" t="str">
        <v>22:19:51</v>
      </c>
      <c r="AT16" t="str">
        <v>2025-12-01</v>
      </c>
      <c r="AU16" t="str">
        <v>4.99</v>
      </c>
      <c r="AV16" t="str">
        <v>1</v>
      </c>
      <c r="AW16" t="str">
        <v>-0.000</v>
      </c>
      <c r="AX16" t="str">
        <v>-0.000</v>
      </c>
      <c r="AY16" t="str">
        <v>-0.000</v>
      </c>
      <c r="AZ16" t="str">
        <v>0.284</v>
      </c>
      <c r="BA16" t="str">
        <v>0.181</v>
      </c>
      <c r="BB16" t="str">
        <v>0.177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2.473638</v>
      </c>
      <c r="CD16" t="str">
        <v>2.433348</v>
      </c>
      <c r="CE16" t="str">
        <v>0.606719</v>
      </c>
      <c r="CF16" t="str">
        <v>0.573640</v>
      </c>
      <c r="CG16" t="str">
        <v>0.306565</v>
      </c>
      <c r="CH16" t="str">
        <v>-0.045751</v>
      </c>
      <c r="CI16" t="str">
        <v>0.099238</v>
      </c>
      <c r="CJ16" t="str">
        <v>0.111365</v>
      </c>
      <c r="CK16" t="str">
        <v>97.859863</v>
      </c>
      <c r="CL16" t="str">
        <v>0.000213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PSF-01031_20251201222717_226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22:27:38</v>
      </c>
      <c r="C17" t="str">
        <v>2025-12-01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0.001314</v>
      </c>
      <c r="K17" t="str">
        <f>BH17+(BI17*AN17)+(BJ17*AN17*POWER(V17,2))+(BK17*AN17*V17)+(BL17*POWER(AN17,2))</f>
        <v>0.033085</v>
      </c>
      <c r="L17" t="str">
        <f>((M17/1000)*(1000-((T17+S17)/2)))/(T17-S17)</f>
        <v>0.001264</v>
      </c>
      <c r="M17" t="str">
        <f>(AN17*(S17-R17))/(100*U17*(1000-S17))*1000</f>
        <v>0.019675</v>
      </c>
      <c r="N17" t="str">
        <v>1.151938</v>
      </c>
      <c r="O17" t="str">
        <v>1.081475</v>
      </c>
      <c r="P17" t="str">
        <f>0.61365*EXP((17.502*AL17)/(240.97+AL17))</f>
        <v>2.572884</v>
      </c>
      <c r="Q17" t="str">
        <f>P17-N17</f>
        <v>1.420945</v>
      </c>
      <c r="R17" t="str">
        <v>11.610192</v>
      </c>
      <c r="S17" t="str">
        <v>12.366654</v>
      </c>
      <c r="T17" t="str">
        <f>(P17/AM17)*1000</f>
        <v>27.621235</v>
      </c>
      <c r="U17" t="str">
        <f>V17*BG17</f>
        <v>0.441786</v>
      </c>
      <c r="V17" t="str">
        <v>7.500000</v>
      </c>
      <c r="W17" t="str">
        <v>PSF-01031_20251201222738_4b4</v>
      </c>
      <c r="X17" t="str">
        <v>133.810760</v>
      </c>
      <c r="Y17" t="str">
        <v>132.387405</v>
      </c>
      <c r="Z17" t="str">
        <v>-0.010751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-0.018367</v>
      </c>
      <c r="AG17" t="str">
        <v>1.000000</v>
      </c>
      <c r="AH17" t="str">
        <v>43.05</v>
      </c>
      <c r="AI17" t="str">
        <v>40.41</v>
      </c>
      <c r="AJ17" t="str">
        <v>22.14</v>
      </c>
      <c r="AK17" t="str">
        <v>21.50</v>
      </c>
      <c r="AL17" t="str">
        <f>(AK17-AJ17)*(AJ17*0+0)+AK17</f>
        <v>21.50</v>
      </c>
      <c r="AM17" t="str">
        <v>93.15</v>
      </c>
      <c r="AN17" t="str">
        <v>1.1</v>
      </c>
      <c r="AO17" t="str">
        <v>-15.8</v>
      </c>
      <c r="AP17" t="str">
        <v>1489.5</v>
      </c>
      <c r="AQ17" t="str">
        <v>4</v>
      </c>
      <c r="AR17" t="str">
        <v>3.929</v>
      </c>
      <c r="AS17" t="str">
        <v>22:19:51</v>
      </c>
      <c r="AT17" t="str">
        <v>2025-12-01</v>
      </c>
      <c r="AU17" t="str">
        <v>4.99</v>
      </c>
      <c r="AV17" t="str">
        <v>1</v>
      </c>
      <c r="AW17" t="str">
        <v>0.000</v>
      </c>
      <c r="AX17" t="str">
        <v>0.000</v>
      </c>
      <c r="AY17" t="str">
        <v>0.000</v>
      </c>
      <c r="AZ17" t="str">
        <v>0.339</v>
      </c>
      <c r="BA17" t="str">
        <v>0.074</v>
      </c>
      <c r="BB17" t="str">
        <v>0.067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2.473632</v>
      </c>
      <c r="CD17" t="str">
        <v>2.436502</v>
      </c>
      <c r="CE17" t="str">
        <v>0.606907</v>
      </c>
      <c r="CF17" t="str">
        <v>0.572856</v>
      </c>
      <c r="CG17" t="str">
        <v>0.305790</v>
      </c>
      <c r="CH17" t="str">
        <v>-0.006329</v>
      </c>
      <c r="CI17" t="str">
        <v>0.101430</v>
      </c>
      <c r="CJ17" t="str">
        <v>0.110688</v>
      </c>
      <c r="CK17" t="str">
        <v>133.810760</v>
      </c>
      <c r="CL17" t="str">
        <v>0.000214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PSF-01031_20251201222738_4b4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22:27:56</v>
      </c>
      <c r="C18" t="str">
        <v>2025-12-01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0.000479</v>
      </c>
      <c r="K18" t="str">
        <f>BH18+(BI18*AN18)+(BJ18*AN18*POWER(V18,2))+(BK18*AN18*V18)+(BL18*POWER(AN18,2))</f>
        <v>0.032956</v>
      </c>
      <c r="L18" t="str">
        <f>((M18/1000)*(1000-((T18+S18)/2)))/(T18-S18)</f>
        <v>0.000472</v>
      </c>
      <c r="M18" t="str">
        <f>(AN18*(S18-R18))/(100*U18*(1000-S18))*1000</f>
        <v>0.005631</v>
      </c>
      <c r="N18" t="str">
        <v>1.105469</v>
      </c>
      <c r="O18" t="str">
        <v>1.085215</v>
      </c>
      <c r="P18" t="str">
        <f>0.61365*EXP((17.502*AL18)/(240.97+AL18))</f>
        <v>2.197490</v>
      </c>
      <c r="Q18" t="str">
        <f>P18-N18</f>
        <v>1.092021</v>
      </c>
      <c r="R18" t="str">
        <v>11.650755</v>
      </c>
      <c r="S18" t="str">
        <v>11.868200</v>
      </c>
      <c r="T18" t="str">
        <f>(P18/AM18)*1000</f>
        <v>23.592020</v>
      </c>
      <c r="U18" t="str">
        <f>V18*BG18</f>
        <v>0.441786</v>
      </c>
      <c r="V18" t="str">
        <v>7.500000</v>
      </c>
      <c r="W18" t="str">
        <v>PSF-01031_20251201222756_855</v>
      </c>
      <c r="X18" t="str">
        <v>106.849548</v>
      </c>
      <c r="Y18" t="str">
        <v>504.210938</v>
      </c>
      <c r="Z18" t="str">
        <v>0.788086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1.730491</v>
      </c>
      <c r="AG18" t="str">
        <v>1.000000</v>
      </c>
      <c r="AH18" t="str">
        <v>41.17</v>
      </c>
      <c r="AI18" t="str">
        <v>40.42</v>
      </c>
      <c r="AJ18" t="str">
        <v>22.19</v>
      </c>
      <c r="AK18" t="str">
        <v>18.94</v>
      </c>
      <c r="AL18" t="str">
        <f>(AK18-AJ18)*(AJ18*0+0)+AK18</f>
        <v>18.94</v>
      </c>
      <c r="AM18" t="str">
        <v>93.15</v>
      </c>
      <c r="AN18" t="str">
        <v>1.1</v>
      </c>
      <c r="AO18" t="str">
        <v>-15.9</v>
      </c>
      <c r="AP18" t="str">
        <v>1502.6</v>
      </c>
      <c r="AQ18" t="str">
        <v>5</v>
      </c>
      <c r="AR18" t="str">
        <v>3.928</v>
      </c>
      <c r="AS18" t="str">
        <v>22:19:51</v>
      </c>
      <c r="AT18" t="str">
        <v>2025-12-01</v>
      </c>
      <c r="AU18" t="str">
        <v>4.99</v>
      </c>
      <c r="AV18" t="str">
        <v>1</v>
      </c>
      <c r="AW18" t="str">
        <v>-0.000</v>
      </c>
      <c r="AX18" t="str">
        <v>-0.000</v>
      </c>
      <c r="AY18" t="str">
        <v>0.001</v>
      </c>
      <c r="AZ18" t="str">
        <v>-0.167</v>
      </c>
      <c r="BA18" t="str">
        <v>-0.093</v>
      </c>
      <c r="BB18" t="str">
        <v>0.116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2.473627</v>
      </c>
      <c r="CD18" t="str">
        <v>2.433793</v>
      </c>
      <c r="CE18" t="str">
        <v>0.606884</v>
      </c>
      <c r="CF18" t="str">
        <v>0.572702</v>
      </c>
      <c r="CG18" t="str">
        <v>0.305111</v>
      </c>
      <c r="CH18" t="str">
        <v>-0.035328</v>
      </c>
      <c r="CI18" t="str">
        <v>0.103290</v>
      </c>
      <c r="CJ18" t="str">
        <v>0.111812</v>
      </c>
      <c r="CK18" t="str">
        <v>106.849548</v>
      </c>
      <c r="CL18" t="str">
        <v>0.000212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PSF-01031_20251201222756_855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22:28:16</v>
      </c>
      <c r="C19" t="str">
        <v>2025-12-01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-0.000481</v>
      </c>
      <c r="K19" t="str">
        <f>BH19+(BI19*AN19)+(BJ19*AN19*POWER(V19,2))+(BK19*AN19*V19)+(BL19*POWER(AN19,2))</f>
        <v>0.034670</v>
      </c>
      <c r="L19" t="str">
        <f>((M19/1000)*(1000-((T19+S19)/2)))/(T19-S19)</f>
        <v>-0.000488</v>
      </c>
      <c r="M19" t="str">
        <f>(AN19*(S19-R19))/(100*U19*(1000-S19))*1000</f>
        <v>-0.008242</v>
      </c>
      <c r="N19" t="str">
        <v>1.061438</v>
      </c>
      <c r="O19" t="str">
        <v>1.089627</v>
      </c>
      <c r="P19" t="str">
        <f>0.61365*EXP((17.502*AL19)/(240.97+AL19))</f>
        <v>2.602779</v>
      </c>
      <c r="Q19" t="str">
        <f>P19-N19</f>
        <v>1.541341</v>
      </c>
      <c r="R19" t="str">
        <v>11.698934</v>
      </c>
      <c r="S19" t="str">
        <v>11.396283</v>
      </c>
      <c r="T19" t="str">
        <f>(P19/AM19)*1000</f>
        <v>27.945105</v>
      </c>
      <c r="U19" t="str">
        <f>V19*BG19</f>
        <v>0.441786</v>
      </c>
      <c r="V19" t="str">
        <v>7.500000</v>
      </c>
      <c r="W19" t="str">
        <v>PSF-01031_20251201222816_99f</v>
      </c>
      <c r="X19" t="str">
        <v>92.795494</v>
      </c>
      <c r="Y19" t="str">
        <v>416.072144</v>
      </c>
      <c r="Z19" t="str">
        <v>0.776973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1.320910</v>
      </c>
      <c r="AG19" t="str">
        <v>1.000000</v>
      </c>
      <c r="AH19" t="str">
        <v>39.39</v>
      </c>
      <c r="AI19" t="str">
        <v>40.43</v>
      </c>
      <c r="AJ19" t="str">
        <v>22.25</v>
      </c>
      <c r="AK19" t="str">
        <v>21.68</v>
      </c>
      <c r="AL19" t="str">
        <f>(AK19-AJ19)*(AJ19*0+0)+AK19</f>
        <v>21.68</v>
      </c>
      <c r="AM19" t="str">
        <v>93.14</v>
      </c>
      <c r="AN19" t="str">
        <v>1.2</v>
      </c>
      <c r="AO19" t="str">
        <v>-16.3</v>
      </c>
      <c r="AP19" t="str">
        <v>1469.7</v>
      </c>
      <c r="AQ19" t="str">
        <v>4</v>
      </c>
      <c r="AR19" t="str">
        <v>3.926</v>
      </c>
      <c r="AS19" t="str">
        <v>22:19:51</v>
      </c>
      <c r="AT19" t="str">
        <v>2025-12-01</v>
      </c>
      <c r="AU19" t="str">
        <v>4.99</v>
      </c>
      <c r="AV19" t="str">
        <v>1</v>
      </c>
      <c r="AW19" t="str">
        <v>0.000</v>
      </c>
      <c r="AX19" t="str">
        <v>-0.000</v>
      </c>
      <c r="AY19" t="str">
        <v>-0.001</v>
      </c>
      <c r="AZ19" t="str">
        <v>0.090</v>
      </c>
      <c r="BA19" t="str">
        <v>-0.175</v>
      </c>
      <c r="BB19" t="str">
        <v>-0.006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2.473640</v>
      </c>
      <c r="CD19" t="str">
        <v>2.431192</v>
      </c>
      <c r="CE19" t="str">
        <v>0.607183</v>
      </c>
      <c r="CF19" t="str">
        <v>0.571927</v>
      </c>
      <c r="CG19" t="str">
        <v>0.304374</v>
      </c>
      <c r="CH19" t="str">
        <v>-0.005519</v>
      </c>
      <c r="CI19" t="str">
        <v>0.105348</v>
      </c>
      <c r="CJ19" t="str">
        <v>0.110669</v>
      </c>
      <c r="CK19" t="str">
        <v>92.795494</v>
      </c>
      <c r="CL19" t="str">
        <v>0.000214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PSF-01031_20251201222816_99f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22:28:41</v>
      </c>
      <c r="C20" t="str">
        <v>2025-12-01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-0.000703</v>
      </c>
      <c r="K20" t="str">
        <f>BH20+(BI20*AN20)+(BJ20*AN20*POWER(V20,2))+(BK20*AN20*V20)+(BL20*POWER(AN20,2))</f>
        <v>0.034488</v>
      </c>
      <c r="L20" t="str">
        <f>((M20/1000)*(1000-((T20+S20)/2)))/(T20-S20)</f>
        <v>-0.000718</v>
      </c>
      <c r="M20" t="str">
        <f>(AN20*(S20-R20))/(100*U20*(1000-S20))*1000</f>
        <v>-0.010837</v>
      </c>
      <c r="N20" t="str">
        <v>1.058021</v>
      </c>
      <c r="O20" t="str">
        <v>1.095287</v>
      </c>
      <c r="P20" t="str">
        <f>0.61365*EXP((17.502*AL20)/(240.97+AL20))</f>
        <v>2.437775</v>
      </c>
      <c r="Q20" t="str">
        <f>P20-N20</f>
        <v>1.379753</v>
      </c>
      <c r="R20" t="str">
        <v>11.758571</v>
      </c>
      <c r="S20" t="str">
        <v>11.358499</v>
      </c>
      <c r="T20" t="str">
        <f>(P20/AM20)*1000</f>
        <v>26.170984</v>
      </c>
      <c r="U20" t="str">
        <f>V20*BG20</f>
        <v>0.441786</v>
      </c>
      <c r="V20" t="str">
        <v>7.500000</v>
      </c>
      <c r="W20" t="str">
        <v>PSF-01031_20251201222841_4e6</v>
      </c>
      <c r="X20" t="str">
        <v>85.233810</v>
      </c>
      <c r="Y20" t="str">
        <v>368.391754</v>
      </c>
      <c r="Z20" t="str">
        <v>0.768633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0.669352</v>
      </c>
      <c r="AG20" t="str">
        <v>1.000000</v>
      </c>
      <c r="AH20" t="str">
        <v>39.07</v>
      </c>
      <c r="AI20" t="str">
        <v>40.45</v>
      </c>
      <c r="AJ20" t="str">
        <v>22.33</v>
      </c>
      <c r="AK20" t="str">
        <v>20.62</v>
      </c>
      <c r="AL20" t="str">
        <f>(AK20-AJ20)*(AJ20*0+0)+AK20</f>
        <v>20.62</v>
      </c>
      <c r="AM20" t="str">
        <v>93.15</v>
      </c>
      <c r="AN20" t="str">
        <v>1.2</v>
      </c>
      <c r="AO20" t="str">
        <v>-15.8</v>
      </c>
      <c r="AP20" t="str">
        <v>1436.3</v>
      </c>
      <c r="AQ20" t="str">
        <v>2</v>
      </c>
      <c r="AR20" t="str">
        <v>3.924</v>
      </c>
      <c r="AS20" t="str">
        <v>22:19:51</v>
      </c>
      <c r="AT20" t="str">
        <v>2025-12-01</v>
      </c>
      <c r="AU20" t="str">
        <v>4.99</v>
      </c>
      <c r="AV20" t="str">
        <v>1</v>
      </c>
      <c r="AW20" t="str">
        <v>0.000</v>
      </c>
      <c r="AX20" t="str">
        <v>0.000</v>
      </c>
      <c r="AY20" t="str">
        <v>0.000</v>
      </c>
      <c r="AZ20" t="str">
        <v>0.146</v>
      </c>
      <c r="BA20" t="str">
        <v>-0.043</v>
      </c>
      <c r="BB20" t="str">
        <v>0.351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2.473651</v>
      </c>
      <c r="CD20" t="str">
        <v>2.430723</v>
      </c>
      <c r="CE20" t="str">
        <v>0.607152</v>
      </c>
      <c r="CF20" t="str">
        <v>0.572784</v>
      </c>
      <c r="CG20" t="str">
        <v>0.303418</v>
      </c>
      <c r="CH20" t="str">
        <v>-0.018395</v>
      </c>
      <c r="CI20" t="str">
        <v>0.107861</v>
      </c>
      <c r="CJ20" t="str">
        <v>0.108757</v>
      </c>
      <c r="CK20" t="str">
        <v>85.233810</v>
      </c>
      <c r="CL20" t="str">
        <v>0.000213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PSF-01031_20251201222841_4e6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22:28:59</v>
      </c>
      <c r="C21" t="str">
        <v>2025-12-01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0.000173</v>
      </c>
      <c r="K21" t="str">
        <f>BH21+(BI21*AN21)+(BJ21*AN21*POWER(V21,2))+(BK21*AN21*V21)+(BL21*POWER(AN21,2))</f>
        <v>0.033718</v>
      </c>
      <c r="L21" t="str">
        <f>((M21/1000)*(1000-((T21+S21)/2)))/(T21-S21)</f>
        <v>0.000172</v>
      </c>
      <c r="M21" t="str">
        <f>(AN21*(S21-R21))/(100*U21*(1000-S21))*1000</f>
        <v>0.002532</v>
      </c>
      <c r="N21" t="str">
        <v>1.108007</v>
      </c>
      <c r="O21" t="str">
        <v>1.099106</v>
      </c>
      <c r="P21" t="str">
        <f>0.61365*EXP((17.502*AL21)/(240.97+AL21))</f>
        <v>2.451795</v>
      </c>
      <c r="Q21" t="str">
        <f>P21-N21</f>
        <v>1.343788</v>
      </c>
      <c r="R21" t="str">
        <v>11.800797</v>
      </c>
      <c r="S21" t="str">
        <v>11.896368</v>
      </c>
      <c r="T21" t="str">
        <f>(P21/AM21)*1000</f>
        <v>26.324257</v>
      </c>
      <c r="U21" t="str">
        <f>V21*BG21</f>
        <v>0.441786</v>
      </c>
      <c r="V21" t="str">
        <v>7.500000</v>
      </c>
      <c r="W21" t="str">
        <v>PSF-01031_20251201222859_0ab</v>
      </c>
      <c r="X21" t="str">
        <v>117.953896</v>
      </c>
      <c r="Y21" t="str">
        <v>343.016266</v>
      </c>
      <c r="Z21" t="str">
        <v>0.656127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1.212455</v>
      </c>
      <c r="AG21" t="str">
        <v>1.000000</v>
      </c>
      <c r="AH21" t="str">
        <v>40.79</v>
      </c>
      <c r="AI21" t="str">
        <v>40.46</v>
      </c>
      <c r="AJ21" t="str">
        <v>22.39</v>
      </c>
      <c r="AK21" t="str">
        <v>20.71</v>
      </c>
      <c r="AL21" t="str">
        <f>(AK21-AJ21)*(AJ21*0+0)+AK21</f>
        <v>20.71</v>
      </c>
      <c r="AM21" t="str">
        <v>93.14</v>
      </c>
      <c r="AN21" t="str">
        <v>1.2</v>
      </c>
      <c r="AO21" t="str">
        <v>-15.9</v>
      </c>
      <c r="AP21" t="str">
        <v>1477.5</v>
      </c>
      <c r="AQ21" t="str">
        <v>5</v>
      </c>
      <c r="AR21" t="str">
        <v>3.925</v>
      </c>
      <c r="AS21" t="str">
        <v>22:19:51</v>
      </c>
      <c r="AT21" t="str">
        <v>2025-12-01</v>
      </c>
      <c r="AU21" t="str">
        <v>4.99</v>
      </c>
      <c r="AV21" t="str">
        <v>1</v>
      </c>
      <c r="AW21" t="str">
        <v>0.000</v>
      </c>
      <c r="AX21" t="str">
        <v>0.000</v>
      </c>
      <c r="AY21" t="str">
        <v>0.000</v>
      </c>
      <c r="AZ21" t="str">
        <v>0.082</v>
      </c>
      <c r="BA21" t="str">
        <v>-0.062</v>
      </c>
      <c r="BB21" t="str">
        <v>0.395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2.473655</v>
      </c>
      <c r="CD21" t="str">
        <v>2.433205</v>
      </c>
      <c r="CE21" t="str">
        <v>0.607017</v>
      </c>
      <c r="CF21" t="str">
        <v>0.572564</v>
      </c>
      <c r="CG21" t="str">
        <v>0.302767</v>
      </c>
      <c r="CH21" t="str">
        <v>-0.017967</v>
      </c>
      <c r="CI21" t="str">
        <v>0.109756</v>
      </c>
      <c r="CJ21" t="str">
        <v>0.111009</v>
      </c>
      <c r="CK21" t="str">
        <v>117.953896</v>
      </c>
      <c r="CL21" t="str">
        <v>0.000213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PSF-01031_20251201222859_0ab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22:29:22</v>
      </c>
      <c r="C22" t="str">
        <v>2025-12-01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0.000466</v>
      </c>
      <c r="K22" t="str">
        <f>BH22+(BI22*AN22)+(BJ22*AN22*POWER(V22,2))+(BK22*AN22*V22)+(BL22*POWER(AN22,2))</f>
        <v>0.031932</v>
      </c>
      <c r="L22" t="str">
        <f>((M22/1000)*(1000-((T22+S22)/2)))/(T22-S22)</f>
        <v>0.000459</v>
      </c>
      <c r="M22" t="str">
        <f>(AN22*(S22-R22))/(100*U22*(1000-S22))*1000</f>
        <v>0.007005</v>
      </c>
      <c r="N22" t="str">
        <v>1.130578</v>
      </c>
      <c r="O22" t="str">
        <v>1.104577</v>
      </c>
      <c r="P22" t="str">
        <f>0.61365*EXP((17.502*AL22)/(240.97+AL22))</f>
        <v>2.523977</v>
      </c>
      <c r="Q22" t="str">
        <f>P22-N22</f>
        <v>1.393399</v>
      </c>
      <c r="R22" t="str">
        <v>11.859130</v>
      </c>
      <c r="S22" t="str">
        <v>12.138280</v>
      </c>
      <c r="T22" t="str">
        <f>(P22/AM22)*1000</f>
        <v>27.098307</v>
      </c>
      <c r="U22" t="str">
        <f>V22*BG22</f>
        <v>0.441786</v>
      </c>
      <c r="V22" t="str">
        <v>7.500000</v>
      </c>
      <c r="W22" t="str">
        <v>PSF-01031_20251201222922_7a1</v>
      </c>
      <c r="X22" t="str">
        <v>102.834106</v>
      </c>
      <c r="Y22" t="str">
        <v>531.681763</v>
      </c>
      <c r="Z22" t="str">
        <v>0.806587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1.718945</v>
      </c>
      <c r="AG22" t="str">
        <v>1.000000</v>
      </c>
      <c r="AH22" t="str">
        <v>41.42</v>
      </c>
      <c r="AI22" t="str">
        <v>40.47</v>
      </c>
      <c r="AJ22" t="str">
        <v>22.46</v>
      </c>
      <c r="AK22" t="str">
        <v>21.18</v>
      </c>
      <c r="AL22" t="str">
        <f>(AK22-AJ22)*(AJ22*0+0)+AK22</f>
        <v>21.18</v>
      </c>
      <c r="AM22" t="str">
        <v>93.14</v>
      </c>
      <c r="AN22" t="str">
        <v>1.1</v>
      </c>
      <c r="AO22" t="str">
        <v>-15.1</v>
      </c>
      <c r="AP22" t="str">
        <v>1476.7</v>
      </c>
      <c r="AQ22" t="str">
        <v>5</v>
      </c>
      <c r="AR22" t="str">
        <v>3.925</v>
      </c>
      <c r="AS22" t="str">
        <v>22:19:51</v>
      </c>
      <c r="AT22" t="str">
        <v>2025-12-01</v>
      </c>
      <c r="AU22" t="str">
        <v>4.99</v>
      </c>
      <c r="AV22" t="str">
        <v>1</v>
      </c>
      <c r="AW22" t="str">
        <v>-0.000</v>
      </c>
      <c r="AX22" t="str">
        <v>-0.001</v>
      </c>
      <c r="AY22" t="str">
        <v>-0.001</v>
      </c>
      <c r="AZ22" t="str">
        <v>0.217</v>
      </c>
      <c r="BA22" t="str">
        <v>0.042</v>
      </c>
      <c r="BB22" t="str">
        <v>0.331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2.473655</v>
      </c>
      <c r="CD22" t="str">
        <v>2.434109</v>
      </c>
      <c r="CE22" t="str">
        <v>0.606705</v>
      </c>
      <c r="CF22" t="str">
        <v>0.574090</v>
      </c>
      <c r="CG22" t="str">
        <v>0.301820</v>
      </c>
      <c r="CH22" t="str">
        <v>-0.013571</v>
      </c>
      <c r="CI22" t="str">
        <v>0.112152</v>
      </c>
      <c r="CJ22" t="str">
        <v>0.111663</v>
      </c>
      <c r="CK22" t="str">
        <v>102.834106</v>
      </c>
      <c r="CL22" t="str">
        <v>0.000215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PSF-01031_20251201222922_7a1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22:29:44</v>
      </c>
      <c r="C23" t="str">
        <v>2025-12-01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0.000208</v>
      </c>
      <c r="K23" t="str">
        <f>BH23+(BI23*AN23)+(BJ23*AN23*POWER(V23,2))+(BK23*AN23*V23)+(BL23*POWER(AN23,2))</f>
        <v>0.036395</v>
      </c>
      <c r="L23" t="str">
        <f>((M23/1000)*(1000-((T23+S23)/2)))/(T23-S23)</f>
        <v>0.000207</v>
      </c>
      <c r="M23" t="str">
        <f>(AN23*(S23-R23))/(100*U23*(1000-S23))*1000</f>
        <v>0.003201</v>
      </c>
      <c r="N23" t="str">
        <v>1.120331</v>
      </c>
      <c r="O23" t="str">
        <v>1.109909</v>
      </c>
      <c r="P23" t="str">
        <f>0.61365*EXP((17.502*AL23)/(240.97+AL23))</f>
        <v>2.533443</v>
      </c>
      <c r="Q23" t="str">
        <f>P23-N23</f>
        <v>1.413112</v>
      </c>
      <c r="R23" t="str">
        <v>11.916376</v>
      </c>
      <c r="S23" t="str">
        <v>12.028271</v>
      </c>
      <c r="T23" t="str">
        <f>(P23/AM23)*1000</f>
        <v>27.199944</v>
      </c>
      <c r="U23" t="str">
        <f>V23*BG23</f>
        <v>0.441786</v>
      </c>
      <c r="V23" t="str">
        <v>7.500000</v>
      </c>
      <c r="W23" t="str">
        <v>PSF-01031_20251201222944_73f</v>
      </c>
      <c r="X23" t="str">
        <v>116.870285</v>
      </c>
      <c r="Y23" t="str">
        <v>328.061707</v>
      </c>
      <c r="Z23" t="str">
        <v>0.643755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1.370930</v>
      </c>
      <c r="AG23" t="str">
        <v>1.000000</v>
      </c>
      <c r="AH23" t="str">
        <v>40.87</v>
      </c>
      <c r="AI23" t="str">
        <v>40.49</v>
      </c>
      <c r="AJ23" t="str">
        <v>22.54</v>
      </c>
      <c r="AK23" t="str">
        <v>21.24</v>
      </c>
      <c r="AL23" t="str">
        <f>(AK23-AJ23)*(AJ23*0+0)+AK23</f>
        <v>21.24</v>
      </c>
      <c r="AM23" t="str">
        <v>93.14</v>
      </c>
      <c r="AN23" t="str">
        <v>1.2</v>
      </c>
      <c r="AO23" t="str">
        <v>-16.8</v>
      </c>
      <c r="AP23" t="str">
        <v>1442.9</v>
      </c>
      <c r="AQ23" t="str">
        <v>5</v>
      </c>
      <c r="AR23" t="str">
        <v>3.921</v>
      </c>
      <c r="AS23" t="str">
        <v>22:19:51</v>
      </c>
      <c r="AT23" t="str">
        <v>2025-12-01</v>
      </c>
      <c r="AU23" t="str">
        <v>4.99</v>
      </c>
      <c r="AV23" t="str">
        <v>1</v>
      </c>
      <c r="AW23" t="str">
        <v>-0.000</v>
      </c>
      <c r="AX23" t="str">
        <v>-0.000</v>
      </c>
      <c r="AY23" t="str">
        <v>-0.000</v>
      </c>
      <c r="AZ23" t="str">
        <v>-0.057</v>
      </c>
      <c r="BA23" t="str">
        <v>-0.349</v>
      </c>
      <c r="BB23" t="str">
        <v>-0.496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2.473673</v>
      </c>
      <c r="CD23" t="str">
        <v>2.433300</v>
      </c>
      <c r="CE23" t="str">
        <v>0.607485</v>
      </c>
      <c r="CF23" t="str">
        <v>0.571073</v>
      </c>
      <c r="CG23" t="str">
        <v>0.300960</v>
      </c>
      <c r="CH23" t="str">
        <v>-0.013700</v>
      </c>
      <c r="CI23" t="str">
        <v>0.114329</v>
      </c>
      <c r="CJ23" t="str">
        <v>0.111659</v>
      </c>
      <c r="CK23" t="str">
        <v>116.870285</v>
      </c>
      <c r="CL23" t="str">
        <v>0.000214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PSF-01031_20251201222944_73f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</sheetData>
  <ignoredErrors>
    <ignoredError numberStoredAsText="1" sqref="A1:D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