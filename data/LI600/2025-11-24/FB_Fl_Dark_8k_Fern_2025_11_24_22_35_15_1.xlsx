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48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21:52:05</v>
      </c>
      <c r="C4" t="str">
        <v>2025-11-24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0.002395</v>
      </c>
      <c r="K4" t="str">
        <f>BH4+(BI4*AN4)+(BJ4*AN4*POWER(V4,2))+(BK4*AN4*V4)+(BL4*POWER(AN4,2))</f>
        <v>0.032008</v>
      </c>
      <c r="L4" t="str">
        <f>((M4/1000)*(1000-((T4+S4)/2)))/(T4-S4)</f>
        <v>0.002228</v>
      </c>
      <c r="M4" t="str">
        <f>(AN4*(S4-R4))/(100*U4*(1000-S4))*1000</f>
        <v>0.020080</v>
      </c>
      <c r="N4" t="str">
        <v>0.822796</v>
      </c>
      <c r="O4" t="str">
        <v>0.748120</v>
      </c>
      <c r="P4" t="str">
        <f>0.61365*EXP((17.502*AL4)/(240.97+AL4))</f>
        <v>1.651969</v>
      </c>
      <c r="Q4" t="str">
        <f>P4-N4</f>
        <v>0.829173</v>
      </c>
      <c r="R4" t="str">
        <v>8.023985</v>
      </c>
      <c r="S4" t="str">
        <v>8.824922</v>
      </c>
      <c r="T4" t="str">
        <f>(P4/AM4)*1000</f>
        <v>17.718241</v>
      </c>
      <c r="U4" t="str">
        <f>V4*BG4</f>
        <v>0.441786</v>
      </c>
      <c r="V4" t="str">
        <v>7.500000</v>
      </c>
      <c r="W4" t="str">
        <v>PSF-01031_20251124215205_69d</v>
      </c>
      <c r="X4" t="str">
        <v>115.580681</v>
      </c>
      <c r="Y4" t="str">
        <v>523.807190</v>
      </c>
      <c r="Z4" t="str">
        <v>0.779345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1.403762</v>
      </c>
      <c r="AG4" t="str">
        <v>1.000000</v>
      </c>
      <c r="AH4" t="str">
        <v>43.45</v>
      </c>
      <c r="AI4" t="str">
        <v>39.51</v>
      </c>
      <c r="AJ4" t="str">
        <v>16.58</v>
      </c>
      <c r="AK4" t="str">
        <v>14.45</v>
      </c>
      <c r="AL4" t="str">
        <f>(AK4-AJ4)*(AJ4*0+0)+AK4</f>
        <v>14.45</v>
      </c>
      <c r="AM4" t="str">
        <v>93.24</v>
      </c>
      <c r="AN4" t="str">
        <v>1.1</v>
      </c>
      <c r="AO4" t="str">
        <v>-15.3</v>
      </c>
      <c r="AP4" t="str">
        <v>1491.4</v>
      </c>
      <c r="AQ4" t="str">
        <v>5</v>
      </c>
      <c r="AR4" t="str">
        <v>4.072</v>
      </c>
      <c r="AS4" t="str">
        <v>21:51:52</v>
      </c>
      <c r="AT4" t="str">
        <v>2025-11-24</v>
      </c>
      <c r="AU4" t="str">
        <v>-19.59</v>
      </c>
      <c r="AV4" t="str">
        <v>1</v>
      </c>
      <c r="AW4" t="str">
        <v>0.000</v>
      </c>
      <c r="AX4" t="str">
        <v>0.000</v>
      </c>
      <c r="AY4" t="str">
        <v>0.001</v>
      </c>
      <c r="AZ4" t="str">
        <v>0.173</v>
      </c>
      <c r="BA4" t="str">
        <v>-0.003</v>
      </c>
      <c r="BB4" t="str">
        <v>0.062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2.473195</v>
      </c>
      <c r="CD4" t="str">
        <v>2.472175</v>
      </c>
      <c r="CE4" t="str">
        <v>0.606719</v>
      </c>
      <c r="CF4" t="str">
        <v>0.573738</v>
      </c>
      <c r="CG4" t="str">
        <v>0.382292</v>
      </c>
      <c r="CH4" t="str">
        <v>-0.021507</v>
      </c>
      <c r="CI4" t="str">
        <v>0.058153</v>
      </c>
      <c r="CJ4" t="str">
        <v>0.110902</v>
      </c>
      <c r="CK4" t="str">
        <v>115.580681</v>
      </c>
      <c r="CL4" t="str">
        <v>0.000204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PSF-01031_20251124215205_69d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21:52:23</v>
      </c>
      <c r="C5" t="str">
        <v>2025-11-24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0.001888</v>
      </c>
      <c r="K5" t="str">
        <f>BH5+(BI5*AN5)+(BJ5*AN5*POWER(V5,2))+(BK5*AN5*V5)+(BL5*POWER(AN5,2))</f>
        <v>0.033141</v>
      </c>
      <c r="L5" t="str">
        <f>((M5/1000)*(1000-((T5+S5)/2)))/(T5-S5)</f>
        <v>0.001786</v>
      </c>
      <c r="M5" t="str">
        <f>(AN5*(S5-R5))/(100*U5*(1000-S5))*1000</f>
        <v>0.016849</v>
      </c>
      <c r="N5" t="str">
        <v>0.807409</v>
      </c>
      <c r="O5" t="str">
        <v>0.746890</v>
      </c>
      <c r="P5" t="str">
        <f>0.61365*EXP((17.502*AL5)/(240.97+AL5))</f>
        <v>1.674986</v>
      </c>
      <c r="Q5" t="str">
        <f>P5-N5</f>
        <v>0.867577</v>
      </c>
      <c r="R5" t="str">
        <v>8.011246</v>
      </c>
      <c r="S5" t="str">
        <v>8.660379</v>
      </c>
      <c r="T5" t="str">
        <f>(P5/AM5)*1000</f>
        <v>17.966125</v>
      </c>
      <c r="U5" t="str">
        <f>V5*BG5</f>
        <v>0.441786</v>
      </c>
      <c r="V5" t="str">
        <v>7.500000</v>
      </c>
      <c r="W5" t="str">
        <v>PSF-01031_20251124215223_971</v>
      </c>
      <c r="X5" t="str">
        <v>113.615509</v>
      </c>
      <c r="Y5" t="str">
        <v>518.890503</v>
      </c>
      <c r="Z5" t="str">
        <v>0.781041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1.565161</v>
      </c>
      <c r="AG5" t="str">
        <v>1.000000</v>
      </c>
      <c r="AH5" t="str">
        <v>42.51</v>
      </c>
      <c r="AI5" t="str">
        <v>39.33</v>
      </c>
      <c r="AJ5" t="str">
        <v>16.63</v>
      </c>
      <c r="AK5" t="str">
        <v>14.67</v>
      </c>
      <c r="AL5" t="str">
        <f>(AK5-AJ5)*(AJ5*0+0)+AK5</f>
        <v>14.67</v>
      </c>
      <c r="AM5" t="str">
        <v>93.23</v>
      </c>
      <c r="AN5" t="str">
        <v>1.1</v>
      </c>
      <c r="AO5" t="str">
        <v>-15.6</v>
      </c>
      <c r="AP5" t="str">
        <v>1474.9</v>
      </c>
      <c r="AQ5" t="str">
        <v>5</v>
      </c>
      <c r="AR5" t="str">
        <v>4.072</v>
      </c>
      <c r="AS5" t="str">
        <v>21:51:52</v>
      </c>
      <c r="AT5" t="str">
        <v>2025-11-24</v>
      </c>
      <c r="AU5" t="str">
        <v>-19.59</v>
      </c>
      <c r="AV5" t="str">
        <v>1</v>
      </c>
      <c r="AW5" t="str">
        <v>0.000</v>
      </c>
      <c r="AX5" t="str">
        <v>0.000</v>
      </c>
      <c r="AY5" t="str">
        <v>0.000</v>
      </c>
      <c r="AZ5" t="str">
        <v>0.197</v>
      </c>
      <c r="BA5" t="str">
        <v>0.128</v>
      </c>
      <c r="BB5" t="str">
        <v>0.321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2.472922</v>
      </c>
      <c r="CD5" t="str">
        <v>2.470910</v>
      </c>
      <c r="CE5" t="str">
        <v>0.606916</v>
      </c>
      <c r="CF5" t="str">
        <v>0.573105</v>
      </c>
      <c r="CG5" t="str">
        <v>0.381598</v>
      </c>
      <c r="CH5" t="str">
        <v>-0.019726</v>
      </c>
      <c r="CI5" t="str">
        <v>0.060324</v>
      </c>
      <c r="CJ5" t="str">
        <v>0.111369</v>
      </c>
      <c r="CK5" t="str">
        <v>113.479256</v>
      </c>
      <c r="CL5" t="str">
        <v>0.000208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PSF-01031_20251124215223_971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21:52:56</v>
      </c>
      <c r="C6" t="str">
        <v>2025-11-24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0.001086</v>
      </c>
      <c r="K6" t="str">
        <f>BH6+(BI6*AN6)+(BJ6*AN6*POWER(V6,2))+(BK6*AN6*V6)+(BL6*POWER(AN6,2))</f>
        <v>0.033548</v>
      </c>
      <c r="L6" t="str">
        <f>((M6/1000)*(1000-((T6+S6)/2)))/(T6-S6)</f>
        <v>0.001052</v>
      </c>
      <c r="M6" t="str">
        <f>(AN6*(S6-R6))/(100*U6*(1000-S6))*1000</f>
        <v>0.011755</v>
      </c>
      <c r="N6" t="str">
        <v>0.790387</v>
      </c>
      <c r="O6" t="str">
        <v>0.748665</v>
      </c>
      <c r="P6" t="str">
        <f>0.61365*EXP((17.502*AL6)/(240.97+AL6))</f>
        <v>1.817803</v>
      </c>
      <c r="Q6" t="str">
        <f>P6-N6</f>
        <v>1.027416</v>
      </c>
      <c r="R6" t="str">
        <v>8.029313</v>
      </c>
      <c r="S6" t="str">
        <v>8.476771</v>
      </c>
      <c r="T6" t="str">
        <f>(P6/AM6)*1000</f>
        <v>19.495647</v>
      </c>
      <c r="U6" t="str">
        <f>V6*BG6</f>
        <v>0.441786</v>
      </c>
      <c r="V6" t="str">
        <v>7.500000</v>
      </c>
      <c r="W6" t="str">
        <v>PSF-01031_20251124215256_9ab</v>
      </c>
      <c r="X6" t="str">
        <v>59.300064</v>
      </c>
      <c r="Y6" t="str">
        <v>303.197266</v>
      </c>
      <c r="Z6" t="str">
        <v>0.804418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1.648190</v>
      </c>
      <c r="AG6" t="str">
        <v>1.000000</v>
      </c>
      <c r="AH6" t="str">
        <v>41.43</v>
      </c>
      <c r="AI6" t="str">
        <v>39.24</v>
      </c>
      <c r="AJ6" t="str">
        <v>16.70</v>
      </c>
      <c r="AK6" t="str">
        <v>15.94</v>
      </c>
      <c r="AL6" t="str">
        <f>(AK6-AJ6)*(AJ6*0+0)+AK6</f>
        <v>15.94</v>
      </c>
      <c r="AM6" t="str">
        <v>93.24</v>
      </c>
      <c r="AN6" t="str">
        <v>1.2</v>
      </c>
      <c r="AO6" t="str">
        <v>-16.3</v>
      </c>
      <c r="AP6" t="str">
        <v>1519.9</v>
      </c>
      <c r="AQ6" t="str">
        <v>5</v>
      </c>
      <c r="AR6" t="str">
        <v>4.070</v>
      </c>
      <c r="AS6" t="str">
        <v>21:51:52</v>
      </c>
      <c r="AT6" t="str">
        <v>2025-11-24</v>
      </c>
      <c r="AU6" t="str">
        <v>-19.59</v>
      </c>
      <c r="AV6" t="str">
        <v>1</v>
      </c>
      <c r="AW6" t="str">
        <v>-0.000</v>
      </c>
      <c r="AX6" t="str">
        <v>-0.000</v>
      </c>
      <c r="AY6" t="str">
        <v>-0.000</v>
      </c>
      <c r="AZ6" t="str">
        <v>0.054</v>
      </c>
      <c r="BA6" t="str">
        <v>0.164</v>
      </c>
      <c r="BB6" t="str">
        <v>0.510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2.472783</v>
      </c>
      <c r="CD6" t="str">
        <v>2.469434</v>
      </c>
      <c r="CE6" t="str">
        <v>0.606987</v>
      </c>
      <c r="CF6" t="str">
        <v>0.571838</v>
      </c>
      <c r="CG6" t="str">
        <v>0.380502</v>
      </c>
      <c r="CH6" t="str">
        <v>-0.006891</v>
      </c>
      <c r="CI6" t="str">
        <v>0.064359</v>
      </c>
      <c r="CJ6" t="str">
        <v>0.111473</v>
      </c>
      <c r="CK6" t="str">
        <v>59.300064</v>
      </c>
      <c r="CL6" t="str">
        <v>0.000208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PSF-01031_20251124215256_9ab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21:53:18</v>
      </c>
      <c r="C7" t="str">
        <v>2025-11-24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0.001037</v>
      </c>
      <c r="K7" t="str">
        <f>BH7+(BI7*AN7)+(BJ7*AN7*POWER(V7,2))+(BK7*AN7*V7)+(BL7*POWER(AN7,2))</f>
        <v>0.034504</v>
      </c>
      <c r="L7" t="str">
        <f>((M7/1000)*(1000-((T7+S7)/2)))/(T7-S7)</f>
        <v>0.001007</v>
      </c>
      <c r="M7" t="str">
        <f>(AN7*(S7-R7))/(100*U7*(1000-S7))*1000</f>
        <v>0.011795</v>
      </c>
      <c r="N7" t="str">
        <v>0.791036</v>
      </c>
      <c r="O7" t="str">
        <v>0.750347</v>
      </c>
      <c r="P7" t="str">
        <f>0.61365*EXP((17.502*AL7)/(240.97+AL7))</f>
        <v>1.867562</v>
      </c>
      <c r="Q7" t="str">
        <f>P7-N7</f>
        <v>1.076526</v>
      </c>
      <c r="R7" t="str">
        <v>8.048900</v>
      </c>
      <c r="S7" t="str">
        <v>8.485375</v>
      </c>
      <c r="T7" t="str">
        <f>(P7/AM7)*1000</f>
        <v>20.033167</v>
      </c>
      <c r="U7" t="str">
        <f>V7*BG7</f>
        <v>0.441786</v>
      </c>
      <c r="V7" t="str">
        <v>7.500000</v>
      </c>
      <c r="W7" t="str">
        <v>PSF-01031_20251124215318_c20</v>
      </c>
      <c r="X7" t="str">
        <v>69.747093</v>
      </c>
      <c r="Y7" t="str">
        <v>312.262787</v>
      </c>
      <c r="Z7" t="str">
        <v>0.776640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1.610791</v>
      </c>
      <c r="AG7" t="str">
        <v>1.000000</v>
      </c>
      <c r="AH7" t="str">
        <v>41.33</v>
      </c>
      <c r="AI7" t="str">
        <v>39.20</v>
      </c>
      <c r="AJ7" t="str">
        <v>16.75</v>
      </c>
      <c r="AK7" t="str">
        <v>16.36</v>
      </c>
      <c r="AL7" t="str">
        <f>(AK7-AJ7)*(AJ7*0+0)+AK7</f>
        <v>16.36</v>
      </c>
      <c r="AM7" t="str">
        <v>93.22</v>
      </c>
      <c r="AN7" t="str">
        <v>1.2</v>
      </c>
      <c r="AO7" t="str">
        <v>-16.4</v>
      </c>
      <c r="AP7" t="str">
        <v>1484.6</v>
      </c>
      <c r="AQ7" t="str">
        <v>5</v>
      </c>
      <c r="AR7" t="str">
        <v>4.068</v>
      </c>
      <c r="AS7" t="str">
        <v>21:51:52</v>
      </c>
      <c r="AT7" t="str">
        <v>2025-11-24</v>
      </c>
      <c r="AU7" t="str">
        <v>-19.59</v>
      </c>
      <c r="AV7" t="str">
        <v>1</v>
      </c>
      <c r="AW7" t="str">
        <v>-0.000</v>
      </c>
      <c r="AX7" t="str">
        <v>-0.000</v>
      </c>
      <c r="AY7" t="str">
        <v>0.000</v>
      </c>
      <c r="AZ7" t="str">
        <v>0.116</v>
      </c>
      <c r="BA7" t="str">
        <v>-0.016</v>
      </c>
      <c r="BB7" t="str">
        <v>0.326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2.472717</v>
      </c>
      <c r="CD7" t="str">
        <v>2.469289</v>
      </c>
      <c r="CE7" t="str">
        <v>0.607154</v>
      </c>
      <c r="CF7" t="str">
        <v>0.571751</v>
      </c>
      <c r="CG7" t="str">
        <v>0.379727</v>
      </c>
      <c r="CH7" t="str">
        <v>-0.002880</v>
      </c>
      <c r="CI7" t="str">
        <v>0.066962</v>
      </c>
      <c r="CJ7" t="str">
        <v>0.111531</v>
      </c>
      <c r="CK7" t="str">
        <v>69.747093</v>
      </c>
      <c r="CL7" t="str">
        <v>0.000207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PSF-01031_20251124215318_c20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21:54:26</v>
      </c>
      <c r="C8" t="str">
        <v>2025-11-24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0.001866</v>
      </c>
      <c r="K8" t="str">
        <f>BH8+(BI8*AN8)+(BJ8*AN8*POWER(V8,2))+(BK8*AN8*V8)+(BL8*POWER(AN8,2))</f>
        <v>0.034007</v>
      </c>
      <c r="L8" t="str">
        <f>((M8/1000)*(1000-((T8+S8)/2)))/(T8-S8)</f>
        <v>0.001769</v>
      </c>
      <c r="M8" t="str">
        <f>(AN8*(S8-R8))/(100*U8*(1000-S8))*1000</f>
        <v>0.019237</v>
      </c>
      <c r="N8" t="str">
        <v>0.825399</v>
      </c>
      <c r="O8" t="str">
        <v>0.758077</v>
      </c>
      <c r="P8" t="str">
        <f>0.61365*EXP((17.502*AL8)/(240.97+AL8))</f>
        <v>1.825014</v>
      </c>
      <c r="Q8" t="str">
        <f>P8-N8</f>
        <v>0.999615</v>
      </c>
      <c r="R8" t="str">
        <v>8.130795</v>
      </c>
      <c r="S8" t="str">
        <v>8.852865</v>
      </c>
      <c r="T8" t="str">
        <f>(P8/AM8)*1000</f>
        <v>19.574289</v>
      </c>
      <c r="U8" t="str">
        <f>V8*BG8</f>
        <v>0.441786</v>
      </c>
      <c r="V8" t="str">
        <v>7.500000</v>
      </c>
      <c r="W8" t="str">
        <v>PSF-01031_20251124215426_7b1</v>
      </c>
      <c r="X8" t="str">
        <v>121.164680</v>
      </c>
      <c r="Y8" t="str">
        <v>537.555115</v>
      </c>
      <c r="Z8" t="str">
        <v>0.774600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1.639603</v>
      </c>
      <c r="AG8" t="str">
        <v>1.000000</v>
      </c>
      <c r="AH8" t="str">
        <v>42.67</v>
      </c>
      <c r="AI8" t="str">
        <v>39.19</v>
      </c>
      <c r="AJ8" t="str">
        <v>16.92</v>
      </c>
      <c r="AK8" t="str">
        <v>16.00</v>
      </c>
      <c r="AL8" t="str">
        <f>(AK8-AJ8)*(AJ8*0+0)+AK8</f>
        <v>16.00</v>
      </c>
      <c r="AM8" t="str">
        <v>93.24</v>
      </c>
      <c r="AN8" t="str">
        <v>1.2</v>
      </c>
      <c r="AO8" t="str">
        <v>-16.1</v>
      </c>
      <c r="AP8" t="str">
        <v>1483.8</v>
      </c>
      <c r="AQ8" t="str">
        <v>5</v>
      </c>
      <c r="AR8" t="str">
        <v>4.032</v>
      </c>
      <c r="AS8" t="str">
        <v>21:51:52</v>
      </c>
      <c r="AT8" t="str">
        <v>2025-11-24</v>
      </c>
      <c r="AU8" t="str">
        <v>-19.59</v>
      </c>
      <c r="AV8" t="str">
        <v>1</v>
      </c>
      <c r="AW8" t="str">
        <v>0.000</v>
      </c>
      <c r="AX8" t="str">
        <v>0.000</v>
      </c>
      <c r="AY8" t="str">
        <v>0.000</v>
      </c>
      <c r="AZ8" t="str">
        <v>0.382</v>
      </c>
      <c r="BA8" t="str">
        <v>0.390</v>
      </c>
      <c r="BB8" t="str">
        <v>0.587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2.472671</v>
      </c>
      <c r="CD8" t="str">
        <v>2.471054</v>
      </c>
      <c r="CE8" t="str">
        <v>0.607068</v>
      </c>
      <c r="CF8" t="str">
        <v>0.572189</v>
      </c>
      <c r="CG8" t="str">
        <v>0.377188</v>
      </c>
      <c r="CH8" t="str">
        <v>-0.008593</v>
      </c>
      <c r="CI8" t="str">
        <v>0.075167</v>
      </c>
      <c r="CJ8" t="str">
        <v>0.111629</v>
      </c>
      <c r="CK8" t="str">
        <v>121.164680</v>
      </c>
      <c r="CL8" t="str">
        <v>0.000209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PSF-01031_20251124215426_7b1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21:54:48</v>
      </c>
      <c r="C9" t="str">
        <v>2025-11-24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0.000525</v>
      </c>
      <c r="K9" t="str">
        <f>BH9+(BI9*AN9)+(BJ9*AN9*POWER(V9,2))+(BK9*AN9*V9)+(BL9*POWER(AN9,2))</f>
        <v>0.035082</v>
      </c>
      <c r="L9" t="str">
        <f>((M9/1000)*(1000-((T9+S9)/2)))/(T9-S9)</f>
        <v>0.000518</v>
      </c>
      <c r="M9" t="str">
        <f>(AN9*(S9-R9))/(100*U9*(1000-S9))*1000</f>
        <v>0.006986</v>
      </c>
      <c r="N9" t="str">
        <v>0.784631</v>
      </c>
      <c r="O9" t="str">
        <v>0.760921</v>
      </c>
      <c r="P9" t="str">
        <f>0.61365*EXP((17.502*AL9)/(240.97+AL9))</f>
        <v>2.023967</v>
      </c>
      <c r="Q9" t="str">
        <f>P9-N9</f>
        <v>1.239336</v>
      </c>
      <c r="R9" t="str">
        <v>8.160976</v>
      </c>
      <c r="S9" t="str">
        <v>8.415264</v>
      </c>
      <c r="T9" t="str">
        <f>(P9/AM9)*1000</f>
        <v>21.707298</v>
      </c>
      <c r="U9" t="str">
        <f>V9*BG9</f>
        <v>0.441786</v>
      </c>
      <c r="V9" t="str">
        <v>7.500000</v>
      </c>
      <c r="W9" t="str">
        <v>PSF-01031_20251124215448_4f0</v>
      </c>
      <c r="X9" t="str">
        <v>99.629402</v>
      </c>
      <c r="Y9" t="str">
        <v>98.487495</v>
      </c>
      <c r="Z9" t="str">
        <v>-0.011594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-0.023538</v>
      </c>
      <c r="AG9" t="str">
        <v>1.000000</v>
      </c>
      <c r="AH9" t="str">
        <v>40.41</v>
      </c>
      <c r="AI9" t="str">
        <v>39.19</v>
      </c>
      <c r="AJ9" t="str">
        <v>16.98</v>
      </c>
      <c r="AK9" t="str">
        <v>17.63</v>
      </c>
      <c r="AL9" t="str">
        <f>(AK9-AJ9)*(AJ9*0+0)+AK9</f>
        <v>17.63</v>
      </c>
      <c r="AM9" t="str">
        <v>93.24</v>
      </c>
      <c r="AN9" t="str">
        <v>1.2</v>
      </c>
      <c r="AO9" t="str">
        <v>-16.4</v>
      </c>
      <c r="AP9" t="str">
        <v>1459.5</v>
      </c>
      <c r="AQ9" t="str">
        <v>5</v>
      </c>
      <c r="AR9" t="str">
        <v>4.065</v>
      </c>
      <c r="AS9" t="str">
        <v>21:51:52</v>
      </c>
      <c r="AT9" t="str">
        <v>2025-11-24</v>
      </c>
      <c r="AU9" t="str">
        <v>-19.59</v>
      </c>
      <c r="AV9" t="str">
        <v>1</v>
      </c>
      <c r="AW9" t="str">
        <v>-0.000</v>
      </c>
      <c r="AX9" t="str">
        <v>0.000</v>
      </c>
      <c r="AY9" t="str">
        <v>-0.000</v>
      </c>
      <c r="AZ9" t="str">
        <v>0.100</v>
      </c>
      <c r="BA9" t="str">
        <v>0.093</v>
      </c>
      <c r="BB9" t="str">
        <v>0.155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2.472656</v>
      </c>
      <c r="CD9" t="str">
        <v>2.467993</v>
      </c>
      <c r="CE9" t="str">
        <v>0.607255</v>
      </c>
      <c r="CF9" t="str">
        <v>0.571799</v>
      </c>
      <c r="CG9" t="str">
        <v>0.376269</v>
      </c>
      <c r="CH9" t="str">
        <v>0.008436</v>
      </c>
      <c r="CI9" t="str">
        <v>0.077720</v>
      </c>
      <c r="CJ9" t="str">
        <v>0.111430</v>
      </c>
      <c r="CK9" t="str">
        <v>99.629402</v>
      </c>
      <c r="CL9" t="str">
        <v>0.000212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PSF-01031_20251124215448_4f0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21:55:12</v>
      </c>
      <c r="C10" t="str">
        <v>2025-11-24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0.000978</v>
      </c>
      <c r="K10" t="str">
        <f>BH10+(BI10*AN10)+(BJ10*AN10*POWER(V10,2))+(BK10*AN10*V10)+(BL10*POWER(AN10,2))</f>
        <v>0.033982</v>
      </c>
      <c r="L10" t="str">
        <f>((M10/1000)*(1000-((T10+S10)/2)))/(T10-S10)</f>
        <v>0.000950</v>
      </c>
      <c r="M10" t="str">
        <f>(AN10*(S10-R10))/(100*U10*(1000-S10))*1000</f>
        <v>0.010901</v>
      </c>
      <c r="N10" t="str">
        <v>0.802539</v>
      </c>
      <c r="O10" t="str">
        <v>0.764346</v>
      </c>
      <c r="P10" t="str">
        <f>0.61365*EXP((17.502*AL10)/(240.97+AL10))</f>
        <v>1.856785</v>
      </c>
      <c r="Q10" t="str">
        <f>P10-N10</f>
        <v>1.054246</v>
      </c>
      <c r="R10" t="str">
        <v>8.197118</v>
      </c>
      <c r="S10" t="str">
        <v>8.606707</v>
      </c>
      <c r="T10" t="str">
        <f>(P10/AM10)*1000</f>
        <v>19.912811</v>
      </c>
      <c r="U10" t="str">
        <f>V10*BG10</f>
        <v>0.441786</v>
      </c>
      <c r="V10" t="str">
        <v>7.500000</v>
      </c>
      <c r="W10" t="str">
        <v>PSF-01031_20251124215512_dd4</v>
      </c>
      <c r="X10" t="str">
        <v>109.647278</v>
      </c>
      <c r="Y10" t="str">
        <v>485.790955</v>
      </c>
      <c r="Z10" t="str">
        <v>0.774291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1.628259</v>
      </c>
      <c r="AG10" t="str">
        <v>1.000000</v>
      </c>
      <c r="AH10" t="str">
        <v>41.16</v>
      </c>
      <c r="AI10" t="str">
        <v>39.20</v>
      </c>
      <c r="AJ10" t="str">
        <v>17.04</v>
      </c>
      <c r="AK10" t="str">
        <v>16.27</v>
      </c>
      <c r="AL10" t="str">
        <f>(AK10-AJ10)*(AJ10*0+0)+AK10</f>
        <v>16.27</v>
      </c>
      <c r="AM10" t="str">
        <v>93.25</v>
      </c>
      <c r="AN10" t="str">
        <v>1.2</v>
      </c>
      <c r="AO10" t="str">
        <v>-16.0</v>
      </c>
      <c r="AP10" t="str">
        <v>1475.4</v>
      </c>
      <c r="AQ10" t="str">
        <v>5</v>
      </c>
      <c r="AR10" t="str">
        <v>4.064</v>
      </c>
      <c r="AS10" t="str">
        <v>21:51:52</v>
      </c>
      <c r="AT10" t="str">
        <v>2025-11-24</v>
      </c>
      <c r="AU10" t="str">
        <v>-19.59</v>
      </c>
      <c r="AV10" t="str">
        <v>1</v>
      </c>
      <c r="AW10" t="str">
        <v>0.000</v>
      </c>
      <c r="AX10" t="str">
        <v>0.000</v>
      </c>
      <c r="AY10" t="str">
        <v>0.000</v>
      </c>
      <c r="AZ10" t="str">
        <v>0.252</v>
      </c>
      <c r="BA10" t="str">
        <v>0.149</v>
      </c>
      <c r="BB10" t="str">
        <v>0.636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2.472667</v>
      </c>
      <c r="CD10" t="str">
        <v>2.468993</v>
      </c>
      <c r="CE10" t="str">
        <v>0.607063</v>
      </c>
      <c r="CF10" t="str">
        <v>0.572385</v>
      </c>
      <c r="CG10" t="str">
        <v>0.375286</v>
      </c>
      <c r="CH10" t="str">
        <v>-0.007051</v>
      </c>
      <c r="CI10" t="str">
        <v>0.080452</v>
      </c>
      <c r="CJ10" t="str">
        <v>0.111597</v>
      </c>
      <c r="CK10" t="str">
        <v>109.647278</v>
      </c>
      <c r="CL10" t="str">
        <v>0.000213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PSF-01031_20251124215512_dd4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21:55:43</v>
      </c>
      <c r="C11" t="str">
        <v>2025-11-24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0.000089</v>
      </c>
      <c r="K11" t="str">
        <f>BH11+(BI11*AN11)+(BJ11*AN11*POWER(V11,2))+(BK11*AN11*V11)+(BL11*POWER(AN11,2))</f>
        <v>0.034263</v>
      </c>
      <c r="L11" t="str">
        <f>((M11/1000)*(1000-((T11+S11)/2)))/(T11-S11)</f>
        <v>0.000089</v>
      </c>
      <c r="M11" t="str">
        <f>(AN11*(S11-R11))/(100*U11*(1000-S11))*1000</f>
        <v>0.001088</v>
      </c>
      <c r="N11" t="str">
        <v>0.773193</v>
      </c>
      <c r="O11" t="str">
        <v>0.769411</v>
      </c>
      <c r="P11" t="str">
        <f>0.61365*EXP((17.502*AL11)/(240.97+AL11))</f>
        <v>1.896653</v>
      </c>
      <c r="Q11" t="str">
        <f>P11-N11</f>
        <v>1.123461</v>
      </c>
      <c r="R11" t="str">
        <v>8.251052</v>
      </c>
      <c r="S11" t="str">
        <v>8.291611</v>
      </c>
      <c r="T11" t="str">
        <f>(P11/AM11)*1000</f>
        <v>20.339447</v>
      </c>
      <c r="U11" t="str">
        <f>V11*BG11</f>
        <v>0.441786</v>
      </c>
      <c r="V11" t="str">
        <v>7.500000</v>
      </c>
      <c r="W11" t="str">
        <v>PSF-01031_20251124215543_a9f</v>
      </c>
      <c r="X11" t="str">
        <v>83.280090</v>
      </c>
      <c r="Y11" t="str">
        <v>341.744904</v>
      </c>
      <c r="Z11" t="str">
        <v>0.756309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1.625757</v>
      </c>
      <c r="AG11" t="str">
        <v>1.000000</v>
      </c>
      <c r="AH11" t="str">
        <v>39.43</v>
      </c>
      <c r="AI11" t="str">
        <v>39.24</v>
      </c>
      <c r="AJ11" t="str">
        <v>17.13</v>
      </c>
      <c r="AK11" t="str">
        <v>16.61</v>
      </c>
      <c r="AL11" t="str">
        <f>(AK11-AJ11)*(AJ11*0+0)+AK11</f>
        <v>16.61</v>
      </c>
      <c r="AM11" t="str">
        <v>93.25</v>
      </c>
      <c r="AN11" t="str">
        <v>1.2</v>
      </c>
      <c r="AO11" t="str">
        <v>-16.3</v>
      </c>
      <c r="AP11" t="str">
        <v>1482.7</v>
      </c>
      <c r="AQ11" t="str">
        <v>5</v>
      </c>
      <c r="AR11" t="str">
        <v>4.060</v>
      </c>
      <c r="AS11" t="str">
        <v>21:51:52</v>
      </c>
      <c r="AT11" t="str">
        <v>2025-11-24</v>
      </c>
      <c r="AU11" t="str">
        <v>-19.59</v>
      </c>
      <c r="AV11" t="str">
        <v>1</v>
      </c>
      <c r="AW11" t="str">
        <v>-0.000</v>
      </c>
      <c r="AX11" t="str">
        <v>-0.000</v>
      </c>
      <c r="AY11" t="str">
        <v>-0.000</v>
      </c>
      <c r="AZ11" t="str">
        <v>0.177</v>
      </c>
      <c r="BA11" t="str">
        <v>0.301</v>
      </c>
      <c r="BB11" t="str">
        <v>0.581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2.472702</v>
      </c>
      <c r="CD11" t="str">
        <v>2.466633</v>
      </c>
      <c r="CE11" t="str">
        <v>0.607112</v>
      </c>
      <c r="CF11" t="str">
        <v>0.571996</v>
      </c>
      <c r="CG11" t="str">
        <v>0.373917</v>
      </c>
      <c r="CH11" t="str">
        <v>-0.004438</v>
      </c>
      <c r="CI11" t="str">
        <v>0.083963</v>
      </c>
      <c r="CJ11" t="str">
        <v>0.111705</v>
      </c>
      <c r="CK11" t="str">
        <v>83.280090</v>
      </c>
      <c r="CL11" t="str">
        <v>0.000209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PSF-01031_20251124215543_a9f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21:56:44</v>
      </c>
      <c r="C12" t="str">
        <v>2025-11-24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-0.000051</v>
      </c>
      <c r="K12" t="str">
        <f>BH12+(BI12*AN12)+(BJ12*AN12*POWER(V12,2))+(BK12*AN12*V12)+(BL12*POWER(AN12,2))</f>
        <v>0.029479</v>
      </c>
      <c r="L12" t="str">
        <f>((M12/1000)*(1000-((T12+S12)/2)))/(T12-S12)</f>
        <v>-0.000051</v>
      </c>
      <c r="M12" t="str">
        <f>(AN12*(S12-R12))/(100*U12*(1000-S12))*1000</f>
        <v>-0.000551</v>
      </c>
      <c r="N12" t="str">
        <v>0.777044</v>
      </c>
      <c r="O12" t="str">
        <v>0.779271</v>
      </c>
      <c r="P12" t="str">
        <f>0.61365*EXP((17.502*AL12)/(240.97+AL12))</f>
        <v>1.770939</v>
      </c>
      <c r="Q12" t="str">
        <f>P12-N12</f>
        <v>0.993895</v>
      </c>
      <c r="R12" t="str">
        <v>8.357313</v>
      </c>
      <c r="S12" t="str">
        <v>8.333429</v>
      </c>
      <c r="T12" t="str">
        <f>(P12/AM12)*1000</f>
        <v>18.992476</v>
      </c>
      <c r="U12" t="str">
        <f>V12*BG12</f>
        <v>0.441786</v>
      </c>
      <c r="V12" t="str">
        <v>7.500000</v>
      </c>
      <c r="W12" t="str">
        <v>PSF-01031_20251124215644_ecc</v>
      </c>
      <c r="X12" t="str">
        <v>139.512421</v>
      </c>
      <c r="Y12" t="str">
        <v>549.664001</v>
      </c>
      <c r="Z12" t="str">
        <v>0.746186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1.380032</v>
      </c>
      <c r="AG12" t="str">
        <v>1.000000</v>
      </c>
      <c r="AH12" t="str">
        <v>39.18</v>
      </c>
      <c r="AI12" t="str">
        <v>39.29</v>
      </c>
      <c r="AJ12" t="str">
        <v>17.31</v>
      </c>
      <c r="AK12" t="str">
        <v>15.53</v>
      </c>
      <c r="AL12" t="str">
        <f>(AK12-AJ12)*(AJ12*0+0)+AK12</f>
        <v>15.53</v>
      </c>
      <c r="AM12" t="str">
        <v>93.24</v>
      </c>
      <c r="AN12" t="str">
        <v>1.0</v>
      </c>
      <c r="AO12" t="str">
        <v>-14.5</v>
      </c>
      <c r="AP12" t="str">
        <v>1532.5</v>
      </c>
      <c r="AQ12" t="str">
        <v>5</v>
      </c>
      <c r="AR12" t="str">
        <v>4.060</v>
      </c>
      <c r="AS12" t="str">
        <v>21:51:52</v>
      </c>
      <c r="AT12" t="str">
        <v>2025-11-24</v>
      </c>
      <c r="AU12" t="str">
        <v>-19.59</v>
      </c>
      <c r="AV12" t="str">
        <v>1</v>
      </c>
      <c r="AW12" t="str">
        <v>0.000</v>
      </c>
      <c r="AX12" t="str">
        <v>-0.000</v>
      </c>
      <c r="AY12" t="str">
        <v>-0.000</v>
      </c>
      <c r="AZ12" t="str">
        <v>-0.063</v>
      </c>
      <c r="BA12" t="str">
        <v>0.027</v>
      </c>
      <c r="BB12" t="str">
        <v>0.332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2.472760</v>
      </c>
      <c r="CD12" t="str">
        <v>2.466258</v>
      </c>
      <c r="CE12" t="str">
        <v>0.606277</v>
      </c>
      <c r="CF12" t="str">
        <v>0.575155</v>
      </c>
      <c r="CG12" t="str">
        <v>0.371251</v>
      </c>
      <c r="CH12" t="str">
        <v>-0.017937</v>
      </c>
      <c r="CI12" t="str">
        <v>0.090802</v>
      </c>
      <c r="CJ12" t="str">
        <v>0.111013</v>
      </c>
      <c r="CK12" t="str">
        <v>139.512421</v>
      </c>
      <c r="CL12" t="str">
        <v>0.000208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PSF-01031_20251124215644_ecc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21:57:05</v>
      </c>
      <c r="C13" t="str">
        <v>2025-11-24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-0.000110</v>
      </c>
      <c r="K13" t="str">
        <f>BH13+(BI13*AN13)+(BJ13*AN13*POWER(V13,2))+(BK13*AN13*V13)+(BL13*POWER(AN13,2))</f>
        <v>0.034021</v>
      </c>
      <c r="L13" t="str">
        <f>((M13/1000)*(1000-((T13+S13)/2)))/(T13-S13)</f>
        <v>-0.000110</v>
      </c>
      <c r="M13" t="str">
        <f>(AN13*(S13-R13))/(100*U13*(1000-S13))*1000</f>
        <v>-0.001222</v>
      </c>
      <c r="N13" t="str">
        <v>0.776857</v>
      </c>
      <c r="O13" t="str">
        <v>0.781135</v>
      </c>
      <c r="P13" t="str">
        <f>0.61365*EXP((17.502*AL13)/(240.97+AL13))</f>
        <v>1.796647</v>
      </c>
      <c r="Q13" t="str">
        <f>P13-N13</f>
        <v>1.019790</v>
      </c>
      <c r="R13" t="str">
        <v>8.377701</v>
      </c>
      <c r="S13" t="str">
        <v>8.331824</v>
      </c>
      <c r="T13" t="str">
        <f>(P13/AM13)*1000</f>
        <v>19.269112</v>
      </c>
      <c r="U13" t="str">
        <f>V13*BG13</f>
        <v>0.441786</v>
      </c>
      <c r="V13" t="str">
        <v>7.500000</v>
      </c>
      <c r="W13" t="str">
        <v>PSF-01031_20251124215705_e8d</v>
      </c>
      <c r="X13" t="str">
        <v>109.349373</v>
      </c>
      <c r="Y13" t="str">
        <v>109.656929</v>
      </c>
      <c r="Z13" t="str">
        <v>0.002805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0.005350</v>
      </c>
      <c r="AG13" t="str">
        <v>1.000000</v>
      </c>
      <c r="AH13" t="str">
        <v>39.02</v>
      </c>
      <c r="AI13" t="str">
        <v>39.23</v>
      </c>
      <c r="AJ13" t="str">
        <v>17.37</v>
      </c>
      <c r="AK13" t="str">
        <v>15.76</v>
      </c>
      <c r="AL13" t="str">
        <f>(AK13-AJ13)*(AJ13*0+0)+AK13</f>
        <v>15.76</v>
      </c>
      <c r="AM13" t="str">
        <v>93.24</v>
      </c>
      <c r="AN13" t="str">
        <v>1.2</v>
      </c>
      <c r="AO13" t="str">
        <v>-16.0</v>
      </c>
      <c r="AP13" t="str">
        <v>1467.2</v>
      </c>
      <c r="AQ13" t="str">
        <v>5</v>
      </c>
      <c r="AR13" t="str">
        <v>4.058</v>
      </c>
      <c r="AS13" t="str">
        <v>21:51:52</v>
      </c>
      <c r="AT13" t="str">
        <v>2025-11-24</v>
      </c>
      <c r="AU13" t="str">
        <v>-19.59</v>
      </c>
      <c r="AV13" t="str">
        <v>1</v>
      </c>
      <c r="AW13" t="str">
        <v>-0.000</v>
      </c>
      <c r="AX13" t="str">
        <v>0.000</v>
      </c>
      <c r="AY13" t="str">
        <v>0.000</v>
      </c>
      <c r="AZ13" t="str">
        <v>-0.150</v>
      </c>
      <c r="BA13" t="str">
        <v>0.247</v>
      </c>
      <c r="BB13" t="str">
        <v>0.389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2.472660</v>
      </c>
      <c r="CD13" t="str">
        <v>2.466024</v>
      </c>
      <c r="CE13" t="str">
        <v>0.607070</v>
      </c>
      <c r="CF13" t="str">
        <v>0.572522</v>
      </c>
      <c r="CG13" t="str">
        <v>0.370324</v>
      </c>
      <c r="CH13" t="str">
        <v>-0.016206</v>
      </c>
      <c r="CI13" t="str">
        <v>0.093132</v>
      </c>
      <c r="CJ13" t="str">
        <v>0.111147</v>
      </c>
      <c r="CK13" t="str">
        <v>109.349373</v>
      </c>
      <c r="CL13" t="str">
        <v>0.000210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PSF-01031_20251124215705_e8d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21:57:24</v>
      </c>
      <c r="C14" t="str">
        <v>2025-11-24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0.000299</v>
      </c>
      <c r="K14" t="str">
        <f>BH14+(BI14*AN14)+(BJ14*AN14*POWER(V14,2))+(BK14*AN14*V14)+(BL14*POWER(AN14,2))</f>
        <v>0.034056</v>
      </c>
      <c r="L14" t="str">
        <f>((M14/1000)*(1000-((T14+S14)/2)))/(T14-S14)</f>
        <v>0.000297</v>
      </c>
      <c r="M14" t="str">
        <f>(AN14*(S14-R14))/(100*U14*(1000-S14))*1000</f>
        <v>0.003140</v>
      </c>
      <c r="N14" t="str">
        <v>0.795137</v>
      </c>
      <c r="O14" t="str">
        <v>0.784160</v>
      </c>
      <c r="P14" t="str">
        <f>0.61365*EXP((17.502*AL14)/(240.97+AL14))</f>
        <v>1.768845</v>
      </c>
      <c r="Q14" t="str">
        <f>P14-N14</f>
        <v>0.973708</v>
      </c>
      <c r="R14" t="str">
        <v>8.410144</v>
      </c>
      <c r="S14" t="str">
        <v>8.527875</v>
      </c>
      <c r="T14" t="str">
        <f>(P14/AM14)*1000</f>
        <v>18.970934</v>
      </c>
      <c r="U14" t="str">
        <f>V14*BG14</f>
        <v>0.441786</v>
      </c>
      <c r="V14" t="str">
        <v>7.500000</v>
      </c>
      <c r="W14" t="str">
        <v>PSF-01031_20251124215724_6d9</v>
      </c>
      <c r="X14" t="str">
        <v>89.271782</v>
      </c>
      <c r="Y14" t="str">
        <v>416.186920</v>
      </c>
      <c r="Z14" t="str">
        <v>0.785501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1.475283</v>
      </c>
      <c r="AG14" t="str">
        <v>1.000000</v>
      </c>
      <c r="AH14" t="str">
        <v>39.80</v>
      </c>
      <c r="AI14" t="str">
        <v>39.25</v>
      </c>
      <c r="AJ14" t="str">
        <v>17.43</v>
      </c>
      <c r="AK14" t="str">
        <v>15.51</v>
      </c>
      <c r="AL14" t="str">
        <f>(AK14-AJ14)*(AJ14*0+0)+AK14</f>
        <v>15.51</v>
      </c>
      <c r="AM14" t="str">
        <v>93.24</v>
      </c>
      <c r="AN14" t="str">
        <v>1.2</v>
      </c>
      <c r="AO14" t="str">
        <v>-15.6</v>
      </c>
      <c r="AP14" t="str">
        <v>1435.9</v>
      </c>
      <c r="AQ14" t="str">
        <v>5</v>
      </c>
      <c r="AR14" t="str">
        <v>4.002</v>
      </c>
      <c r="AS14" t="str">
        <v>21:51:52</v>
      </c>
      <c r="AT14" t="str">
        <v>2025-11-24</v>
      </c>
      <c r="AU14" t="str">
        <v>-19.59</v>
      </c>
      <c r="AV14" t="str">
        <v>1</v>
      </c>
      <c r="AW14" t="str">
        <v>0.000</v>
      </c>
      <c r="AX14" t="str">
        <v>0.000</v>
      </c>
      <c r="AY14" t="str">
        <v>0.001</v>
      </c>
      <c r="AZ14" t="str">
        <v>-0.329</v>
      </c>
      <c r="BA14" t="str">
        <v>0.105</v>
      </c>
      <c r="BB14" t="str">
        <v>0.437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2.472675</v>
      </c>
      <c r="CD14" t="str">
        <v>2.467066</v>
      </c>
      <c r="CE14" t="str">
        <v>0.607076</v>
      </c>
      <c r="CF14" t="str">
        <v>0.573146</v>
      </c>
      <c r="CG14" t="str">
        <v>0.369510</v>
      </c>
      <c r="CH14" t="str">
        <v>-0.019409</v>
      </c>
      <c r="CI14" t="str">
        <v>0.095198</v>
      </c>
      <c r="CJ14" t="str">
        <v>0.111079</v>
      </c>
      <c r="CK14" t="str">
        <v>89.271782</v>
      </c>
      <c r="CL14" t="str">
        <v>0.000208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PSF-01031_20251124215724_6d9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22:18:36</v>
      </c>
      <c r="C15" t="str">
        <v>2025-11-24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0.001424</v>
      </c>
      <c r="K15" t="str">
        <f>BH15+(BI15*AN15)+(BJ15*AN15*POWER(V15,2))+(BK15*AN15*V15)+(BL15*POWER(AN15,2))</f>
        <v>0.033919</v>
      </c>
      <c r="L15" t="str">
        <f>((M15/1000)*(1000-((T15+S15)/2)))/(T15-S15)</f>
        <v>0.001367</v>
      </c>
      <c r="M15" t="str">
        <f>(AN15*(S15-R15))/(100*U15*(1000-S15))*1000</f>
        <v>0.012699</v>
      </c>
      <c r="N15" t="str">
        <v>0.936384</v>
      </c>
      <c r="O15" t="str">
        <v>0.891863</v>
      </c>
      <c r="P15" t="str">
        <f>0.61365*EXP((17.502*AL15)/(240.97+AL15))</f>
        <v>1.790442</v>
      </c>
      <c r="Q15" t="str">
        <f>P15-N15</f>
        <v>0.854057</v>
      </c>
      <c r="R15" t="str">
        <v>9.561985</v>
      </c>
      <c r="S15" t="str">
        <v>10.039312</v>
      </c>
      <c r="T15" t="str">
        <f>(P15/AM15)*1000</f>
        <v>19.195969</v>
      </c>
      <c r="U15" t="str">
        <f>V15*BG15</f>
        <v>0.441786</v>
      </c>
      <c r="V15" t="str">
        <v>7.500000</v>
      </c>
      <c r="W15" t="str">
        <v>PSF-01031_20251124221836_213</v>
      </c>
      <c r="X15" t="str">
        <v>82.800865</v>
      </c>
      <c r="Y15" t="str">
        <v>425.715576</v>
      </c>
      <c r="Z15" t="str">
        <v>0.805502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1.572696</v>
      </c>
      <c r="AG15" t="str">
        <v>1.000000</v>
      </c>
      <c r="AH15" t="str">
        <v>41.59</v>
      </c>
      <c r="AI15" t="str">
        <v>39.61</v>
      </c>
      <c r="AJ15" t="str">
        <v>19.33</v>
      </c>
      <c r="AK15" t="str">
        <v>15.70</v>
      </c>
      <c r="AL15" t="str">
        <f>(AK15-AJ15)*(AJ15*0+0)+AK15</f>
        <v>15.70</v>
      </c>
      <c r="AM15" t="str">
        <v>93.27</v>
      </c>
      <c r="AN15" t="str">
        <v>1.2</v>
      </c>
      <c r="AO15" t="str">
        <v>-15.8</v>
      </c>
      <c r="AP15" t="str">
        <v>1462.1</v>
      </c>
      <c r="AQ15" t="str">
        <v>5</v>
      </c>
      <c r="AR15" t="str">
        <v>4.001</v>
      </c>
      <c r="AS15" t="str">
        <v>22:18:27</v>
      </c>
      <c r="AT15" t="str">
        <v>2025-11-24</v>
      </c>
      <c r="AU15" t="str">
        <v>-10.87</v>
      </c>
      <c r="AV15" t="str">
        <v>1</v>
      </c>
      <c r="AW15" t="str">
        <v>0.000</v>
      </c>
      <c r="AX15" t="str">
        <v>0.000</v>
      </c>
      <c r="AY15" t="str">
        <v>0.000</v>
      </c>
      <c r="AZ15" t="str">
        <v>0.276</v>
      </c>
      <c r="BA15" t="str">
        <v>0.151</v>
      </c>
      <c r="BB15" t="str">
        <v>-0.080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2.472905</v>
      </c>
      <c r="CD15" t="str">
        <v>2.457199</v>
      </c>
      <c r="CE15" t="str">
        <v>0.607052</v>
      </c>
      <c r="CF15" t="str">
        <v>0.572714</v>
      </c>
      <c r="CG15" t="str">
        <v>0.342239</v>
      </c>
      <c r="CH15" t="str">
        <v>-0.038338</v>
      </c>
      <c r="CI15" t="str">
        <v>0.223248</v>
      </c>
      <c r="CJ15" t="str">
        <v>0.111251</v>
      </c>
      <c r="CK15" t="str">
        <v>82.800865</v>
      </c>
      <c r="CL15" t="str">
        <v>0.000211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PSF-01031_20251124221836_213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22:18:59</v>
      </c>
      <c r="C16" t="str">
        <v>2025-11-24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0.002787</v>
      </c>
      <c r="K16" t="str">
        <f>BH16+(BI16*AN16)+(BJ16*AN16*POWER(V16,2))+(BK16*AN16*V16)+(BL16*POWER(AN16,2))</f>
        <v>0.033890</v>
      </c>
      <c r="L16" t="str">
        <f>((M16/1000)*(1000-((T16+S16)/2)))/(T16-S16)</f>
        <v>0.002575</v>
      </c>
      <c r="M16" t="str">
        <f>(AN16*(S16-R16))/(100*U16*(1000-S16))*1000</f>
        <v>0.017947</v>
      </c>
      <c r="N16" t="str">
        <v>0.954561</v>
      </c>
      <c r="O16" t="str">
        <v>0.891603</v>
      </c>
      <c r="P16" t="str">
        <f>0.61365*EXP((17.502*AL16)/(240.97+AL16))</f>
        <v>1.595652</v>
      </c>
      <c r="Q16" t="str">
        <f>P16-N16</f>
        <v>0.641091</v>
      </c>
      <c r="R16" t="str">
        <v>9.559916</v>
      </c>
      <c r="S16" t="str">
        <v>10.234963</v>
      </c>
      <c r="T16" t="str">
        <f>(P16/AM16)*1000</f>
        <v>17.108849</v>
      </c>
      <c r="U16" t="str">
        <f>V16*BG16</f>
        <v>0.441786</v>
      </c>
      <c r="V16" t="str">
        <v>7.500000</v>
      </c>
      <c r="W16" t="str">
        <v>PSF-01031_20251124221859_b27</v>
      </c>
      <c r="X16" t="str">
        <v>140.899307</v>
      </c>
      <c r="Y16" t="str">
        <v>603.681946</v>
      </c>
      <c r="Z16" t="str">
        <v>0.766600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1.223249</v>
      </c>
      <c r="AG16" t="str">
        <v>1.000000</v>
      </c>
      <c r="AH16" t="str">
        <v>42.35</v>
      </c>
      <c r="AI16" t="str">
        <v>39.56</v>
      </c>
      <c r="AJ16" t="str">
        <v>19.35</v>
      </c>
      <c r="AK16" t="str">
        <v>13.92</v>
      </c>
      <c r="AL16" t="str">
        <f>(AK16-AJ16)*(AJ16*0+0)+AK16</f>
        <v>13.92</v>
      </c>
      <c r="AM16" t="str">
        <v>93.26</v>
      </c>
      <c r="AN16" t="str">
        <v>1.2</v>
      </c>
      <c r="AO16" t="str">
        <v>-15.5</v>
      </c>
      <c r="AP16" t="str">
        <v>1436.8</v>
      </c>
      <c r="AQ16" t="str">
        <v>4</v>
      </c>
      <c r="AR16" t="str">
        <v>4.001</v>
      </c>
      <c r="AS16" t="str">
        <v>22:18:27</v>
      </c>
      <c r="AT16" t="str">
        <v>2025-11-24</v>
      </c>
      <c r="AU16" t="str">
        <v>-10.87</v>
      </c>
      <c r="AV16" t="str">
        <v>1</v>
      </c>
      <c r="AW16" t="str">
        <v>0.000</v>
      </c>
      <c r="AX16" t="str">
        <v>0.000</v>
      </c>
      <c r="AY16" t="str">
        <v>0.001</v>
      </c>
      <c r="AZ16" t="str">
        <v>0.032</v>
      </c>
      <c r="BA16" t="str">
        <v>0.318</v>
      </c>
      <c r="BB16" t="str">
        <v>0.351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2.472818</v>
      </c>
      <c r="CD16" t="str">
        <v>2.458234</v>
      </c>
      <c r="CE16" t="str">
        <v>0.607047</v>
      </c>
      <c r="CF16" t="str">
        <v>0.573264</v>
      </c>
      <c r="CG16" t="str">
        <v>0.341986</v>
      </c>
      <c r="CH16" t="str">
        <v>-0.057420</v>
      </c>
      <c r="CI16" t="str">
        <v>0.225295</v>
      </c>
      <c r="CJ16" t="str">
        <v>0.110428</v>
      </c>
      <c r="CK16" t="str">
        <v>140.899307</v>
      </c>
      <c r="CL16" t="str">
        <v>0.000210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PSF-01031_20251124221859_b27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22:19:21</v>
      </c>
      <c r="C17" t="str">
        <v>2025-11-24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0.000649</v>
      </c>
      <c r="K17" t="str">
        <f>BH17+(BI17*AN17)+(BJ17*AN17*POWER(V17,2))+(BK17*AN17*V17)+(BL17*POWER(AN17,2))</f>
        <v>0.034844</v>
      </c>
      <c r="L17" t="str">
        <f>((M17/1000)*(1000-((T17+S17)/2)))/(T17-S17)</f>
        <v>0.000637</v>
      </c>
      <c r="M17" t="str">
        <f>(AN17*(S17-R17))/(100*U17*(1000-S17))*1000</f>
        <v>0.007397</v>
      </c>
      <c r="N17" t="str">
        <v>0.916987</v>
      </c>
      <c r="O17" t="str">
        <v>0.891738</v>
      </c>
      <c r="P17" t="str">
        <f>0.61365*EXP((17.502*AL17)/(240.97+AL17))</f>
        <v>1.983729</v>
      </c>
      <c r="Q17" t="str">
        <f>P17-N17</f>
        <v>1.066743</v>
      </c>
      <c r="R17" t="str">
        <v>9.561136</v>
      </c>
      <c r="S17" t="str">
        <v>9.831845</v>
      </c>
      <c r="T17" t="str">
        <f>(P17/AM17)*1000</f>
        <v>21.269360</v>
      </c>
      <c r="U17" t="str">
        <f>V17*BG17</f>
        <v>0.441786</v>
      </c>
      <c r="V17" t="str">
        <v>7.500000</v>
      </c>
      <c r="W17" t="str">
        <v>PSF-01031_20251124221921_486</v>
      </c>
      <c r="X17" t="str">
        <v>81.930038</v>
      </c>
      <c r="Y17" t="str">
        <v>288.101807</v>
      </c>
      <c r="Z17" t="str">
        <v>0.715621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1.383667</v>
      </c>
      <c r="AG17" t="str">
        <v>1.000000</v>
      </c>
      <c r="AH17" t="str">
        <v>40.66</v>
      </c>
      <c r="AI17" t="str">
        <v>39.54</v>
      </c>
      <c r="AJ17" t="str">
        <v>19.36</v>
      </c>
      <c r="AK17" t="str">
        <v>17.32</v>
      </c>
      <c r="AL17" t="str">
        <f>(AK17-AJ17)*(AJ17*0+0)+AK17</f>
        <v>17.32</v>
      </c>
      <c r="AM17" t="str">
        <v>93.27</v>
      </c>
      <c r="AN17" t="str">
        <v>1.2</v>
      </c>
      <c r="AO17" t="str">
        <v>-15.9</v>
      </c>
      <c r="AP17" t="str">
        <v>1430.4</v>
      </c>
      <c r="AQ17" t="str">
        <v>5</v>
      </c>
      <c r="AR17" t="str">
        <v>3.999</v>
      </c>
      <c r="AS17" t="str">
        <v>22:18:27</v>
      </c>
      <c r="AT17" t="str">
        <v>2025-11-24</v>
      </c>
      <c r="AU17" t="str">
        <v>-10.87</v>
      </c>
      <c r="AV17" t="str">
        <v>1</v>
      </c>
      <c r="AW17" t="str">
        <v>0.000</v>
      </c>
      <c r="AX17" t="str">
        <v>0.000</v>
      </c>
      <c r="AY17" t="str">
        <v>0.000</v>
      </c>
      <c r="AZ17" t="str">
        <v>-0.293</v>
      </c>
      <c r="BA17" t="str">
        <v>-0.080</v>
      </c>
      <c r="BB17" t="str">
        <v>-0.307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2.472798</v>
      </c>
      <c r="CD17" t="str">
        <v>2.455920</v>
      </c>
      <c r="CE17" t="str">
        <v>0.607214</v>
      </c>
      <c r="CF17" t="str">
        <v>0.572616</v>
      </c>
      <c r="CG17" t="str">
        <v>0.341881</v>
      </c>
      <c r="CH17" t="str">
        <v>-0.021297</v>
      </c>
      <c r="CI17" t="str">
        <v>0.227147</v>
      </c>
      <c r="CJ17" t="str">
        <v>0.111207</v>
      </c>
      <c r="CK17" t="str">
        <v>81.930038</v>
      </c>
      <c r="CL17" t="str">
        <v>0.000211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PSF-01031_20251124221921_486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22:19:45</v>
      </c>
      <c r="C18" t="str">
        <v>2025-11-24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0.001828</v>
      </c>
      <c r="K18" t="str">
        <f>BH18+(BI18*AN18)+(BJ18*AN18*POWER(V18,2))+(BK18*AN18*V18)+(BL18*POWER(AN18,2))</f>
        <v>0.034193</v>
      </c>
      <c r="L18" t="str">
        <f>((M18/1000)*(1000-((T18+S18)/2)))/(T18-S18)</f>
        <v>0.001735</v>
      </c>
      <c r="M18" t="str">
        <f>(AN18*(S18-R18))/(100*U18*(1000-S18))*1000</f>
        <v>0.019144</v>
      </c>
      <c r="N18" t="str">
        <v>0.959362</v>
      </c>
      <c r="O18" t="str">
        <v>0.892805</v>
      </c>
      <c r="P18" t="str">
        <f>0.61365*EXP((17.502*AL18)/(240.97+AL18))</f>
        <v>1.972409</v>
      </c>
      <c r="Q18" t="str">
        <f>P18-N18</f>
        <v>1.013047</v>
      </c>
      <c r="R18" t="str">
        <v>9.572754</v>
      </c>
      <c r="S18" t="str">
        <v>10.286385</v>
      </c>
      <c r="T18" t="str">
        <f>(P18/AM18)*1000</f>
        <v>21.148378</v>
      </c>
      <c r="U18" t="str">
        <f>V18*BG18</f>
        <v>0.441786</v>
      </c>
      <c r="V18" t="str">
        <v>7.500000</v>
      </c>
      <c r="W18" t="str">
        <v>PSF-01031_20251124221945_641</v>
      </c>
      <c r="X18" t="str">
        <v>107.304810</v>
      </c>
      <c r="Y18" t="str">
        <v>124.193069</v>
      </c>
      <c r="Z18" t="str">
        <v>0.135984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0.281067</v>
      </c>
      <c r="AG18" t="str">
        <v>1.000000</v>
      </c>
      <c r="AH18" t="str">
        <v>42.50</v>
      </c>
      <c r="AI18" t="str">
        <v>39.55</v>
      </c>
      <c r="AJ18" t="str">
        <v>19.38</v>
      </c>
      <c r="AK18" t="str">
        <v>17.22</v>
      </c>
      <c r="AL18" t="str">
        <f>(AK18-AJ18)*(AJ18*0+0)+AK18</f>
        <v>17.22</v>
      </c>
      <c r="AM18" t="str">
        <v>93.27</v>
      </c>
      <c r="AN18" t="str">
        <v>1.2</v>
      </c>
      <c r="AO18" t="str">
        <v>-16.0</v>
      </c>
      <c r="AP18" t="str">
        <v>1464.6</v>
      </c>
      <c r="AQ18" t="str">
        <v>5</v>
      </c>
      <c r="AR18" t="str">
        <v>3.998</v>
      </c>
      <c r="AS18" t="str">
        <v>22:18:27</v>
      </c>
      <c r="AT18" t="str">
        <v>2025-11-24</v>
      </c>
      <c r="AU18" t="str">
        <v>-10.87</v>
      </c>
      <c r="AV18" t="str">
        <v>1</v>
      </c>
      <c r="AW18" t="str">
        <v>0.000</v>
      </c>
      <c r="AX18" t="str">
        <v>0.000</v>
      </c>
      <c r="AY18" t="str">
        <v>0.001</v>
      </c>
      <c r="AZ18" t="str">
        <v>0.012</v>
      </c>
      <c r="BA18" t="str">
        <v>0.022</v>
      </c>
      <c r="BB18" t="str">
        <v>0.530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2.472803</v>
      </c>
      <c r="CD18" t="str">
        <v>2.458431</v>
      </c>
      <c r="CE18" t="str">
        <v>0.607100</v>
      </c>
      <c r="CF18" t="str">
        <v>0.572432</v>
      </c>
      <c r="CG18" t="str">
        <v>0.341645</v>
      </c>
      <c r="CH18" t="str">
        <v>-0.022469</v>
      </c>
      <c r="CI18" t="str">
        <v>0.229169</v>
      </c>
      <c r="CJ18" t="str">
        <v>0.111514</v>
      </c>
      <c r="CK18" t="str">
        <v>107.304810</v>
      </c>
      <c r="CL18" t="str">
        <v>0.000212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PSF-01031_20251124221945_641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  <row r="19">
      <c r="A19" t="str">
        <v>16</v>
      </c>
      <c r="B19" t="str">
        <v>22:20:15</v>
      </c>
      <c r="C19" t="str">
        <v>2025-11-24</v>
      </c>
      <c r="D19" t="str">
        <v>FB_Fl_Dark_8k</v>
      </c>
      <c r="E19" t="str">
        <v>Fern</v>
      </c>
      <c r="F19" t="str">
        <v/>
      </c>
      <c r="G19" t="str">
        <v/>
      </c>
      <c r="H19" t="str">
        <v/>
      </c>
      <c r="I19" t="str">
        <v/>
      </c>
      <c r="J19" t="str">
        <f>1/((1/L19)-(1/K19))</f>
        <v>0.001104</v>
      </c>
      <c r="K19" t="str">
        <f>BH19+(BI19*AN19)+(BJ19*AN19*POWER(V19,2))+(BK19*AN19*V19)+(BL19*POWER(AN19,2))</f>
        <v>0.034079</v>
      </c>
      <c r="L19" t="str">
        <f>((M19/1000)*(1000-((T19+S19)/2)))/(T19-S19)</f>
        <v>0.001070</v>
      </c>
      <c r="M19" t="str">
        <f>(AN19*(S19-R19))/(100*U19*(1000-S19))*1000</f>
        <v>0.011369</v>
      </c>
      <c r="N19" t="str">
        <v>0.933961</v>
      </c>
      <c r="O19" t="str">
        <v>0.894290</v>
      </c>
      <c r="P19" t="str">
        <f>0.61365*EXP((17.502*AL19)/(240.97+AL19))</f>
        <v>1.910127</v>
      </c>
      <c r="Q19" t="str">
        <f>P19-N19</f>
        <v>0.976166</v>
      </c>
      <c r="R19" t="str">
        <v>9.588002</v>
      </c>
      <c r="S19" t="str">
        <v>10.013330</v>
      </c>
      <c r="T19" t="str">
        <f>(P19/AM19)*1000</f>
        <v>20.479156</v>
      </c>
      <c r="U19" t="str">
        <f>V19*BG19</f>
        <v>0.441786</v>
      </c>
      <c r="V19" t="str">
        <v>7.500000</v>
      </c>
      <c r="W19" t="str">
        <v>PSF-01031_20251124222015_920</v>
      </c>
      <c r="X19" t="str">
        <v>97.941040</v>
      </c>
      <c r="Y19" t="str">
        <v>448.889862</v>
      </c>
      <c r="Z19" t="str">
        <v>0.781815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1.422278</v>
      </c>
      <c r="AG19" t="str">
        <v>1.000000</v>
      </c>
      <c r="AH19" t="str">
        <v>41.31</v>
      </c>
      <c r="AI19" t="str">
        <v>39.56</v>
      </c>
      <c r="AJ19" t="str">
        <v>19.40</v>
      </c>
      <c r="AK19" t="str">
        <v>16.72</v>
      </c>
      <c r="AL19" t="str">
        <f>(AK19-AJ19)*(AJ19*0+0)+AK19</f>
        <v>16.72</v>
      </c>
      <c r="AM19" t="str">
        <v>93.27</v>
      </c>
      <c r="AN19" t="str">
        <v>1.2</v>
      </c>
      <c r="AO19" t="str">
        <v>-16.4</v>
      </c>
      <c r="AP19" t="str">
        <v>1500.5</v>
      </c>
      <c r="AQ19" t="str">
        <v>5</v>
      </c>
      <c r="AR19" t="str">
        <v>3.997</v>
      </c>
      <c r="AS19" t="str">
        <v>22:18:27</v>
      </c>
      <c r="AT19" t="str">
        <v>2025-11-24</v>
      </c>
      <c r="AU19" t="str">
        <v>-10.87</v>
      </c>
      <c r="AV19" t="str">
        <v>1</v>
      </c>
      <c r="AW19" t="str">
        <v>0.000</v>
      </c>
      <c r="AX19" t="str">
        <v>0.000</v>
      </c>
      <c r="AY19" t="str">
        <v>0.000</v>
      </c>
      <c r="AZ19" t="str">
        <v>0.270</v>
      </c>
      <c r="BA19" t="str">
        <v>0.116</v>
      </c>
      <c r="BB19" t="str">
        <v>0.606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8000</v>
      </c>
      <c r="BQ19" t="str">
        <v>5</v>
      </c>
      <c r="BR19" t="str">
        <v>-9999.000000</v>
      </c>
      <c r="BS19" t="str">
        <v>-9999.000000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2.472814</v>
      </c>
      <c r="CD19" t="str">
        <v>2.456805</v>
      </c>
      <c r="CE19" t="str">
        <v>0.607080</v>
      </c>
      <c r="CF19" t="str">
        <v>0.571780</v>
      </c>
      <c r="CG19" t="str">
        <v>0.341335</v>
      </c>
      <c r="CH19" t="str">
        <v>-0.028188</v>
      </c>
      <c r="CI19" t="str">
        <v>0.231729</v>
      </c>
      <c r="CJ19" t="str">
        <v>0.110943</v>
      </c>
      <c r="CK19" t="str">
        <v>98.072647</v>
      </c>
      <c r="CL19" t="str">
        <v>0.000211</v>
      </c>
      <c r="CM19" t="str">
        <v>2.405086</v>
      </c>
      <c r="CN19" t="str">
        <v>0.000013</v>
      </c>
      <c r="CO19" t="str">
        <v>1.000000</v>
      </c>
      <c r="CP19" t="str">
        <v>2.372866</v>
      </c>
      <c r="CQ19" t="str">
        <v>0.000011</v>
      </c>
      <c r="CR19" t="str">
        <v>1.000000</v>
      </c>
      <c r="CS19" t="str">
        <v>0.601157</v>
      </c>
      <c r="CT19" t="str">
        <v>0.601293</v>
      </c>
      <c r="CU19" t="str">
        <v>0.106749</v>
      </c>
      <c r="CV19" t="str">
        <v>0.000000</v>
      </c>
      <c r="CW19" t="str">
        <v>PSF-01031_20251124222015_920</v>
      </c>
      <c r="CX19" t="str">
        <v>PFA-00872</v>
      </c>
      <c r="CY19" t="str">
        <v>PSA-00872</v>
      </c>
      <c r="CZ19" t="str">
        <v>PSF-01031</v>
      </c>
      <c r="DA19" t="str">
        <v>RHS-0785</v>
      </c>
      <c r="DB19" t="str">
        <v>3.0.0</v>
      </c>
      <c r="DC19" t="str">
        <v>2025-07-31T17:03:34.552Z</v>
      </c>
    </row>
    <row r="20">
      <c r="A20" t="str">
        <v>17</v>
      </c>
      <c r="B20" t="str">
        <v>22:20:37</v>
      </c>
      <c r="C20" t="str">
        <v>2025-11-24</v>
      </c>
      <c r="D20" t="str">
        <v>FB_Fl_Dark_8k</v>
      </c>
      <c r="E20" t="str">
        <v>Fern</v>
      </c>
      <c r="F20" t="str">
        <v/>
      </c>
      <c r="G20" t="str">
        <v/>
      </c>
      <c r="H20" t="str">
        <v/>
      </c>
      <c r="I20" t="str">
        <v/>
      </c>
      <c r="J20" t="str">
        <f>1/((1/L20)-(1/K20))</f>
        <v>0.000652</v>
      </c>
      <c r="K20" t="str">
        <f>BH20+(BI20*AN20)+(BJ20*AN20*POWER(V20,2))+(BK20*AN20*V20)+(BL20*POWER(AN20,2))</f>
        <v>0.032905</v>
      </c>
      <c r="L20" t="str">
        <f>((M20/1000)*(1000-((T20+S20)/2)))/(T20-S20)</f>
        <v>0.000640</v>
      </c>
      <c r="M20" t="str">
        <f>(AN20*(S20-R20))/(100*U20*(1000-S20))*1000</f>
        <v>0.009278</v>
      </c>
      <c r="N20" t="str">
        <v>0.929288</v>
      </c>
      <c r="O20" t="str">
        <v>0.895754</v>
      </c>
      <c r="P20" t="str">
        <f>0.61365*EXP((17.502*AL20)/(240.97+AL20))</f>
        <v>2.259149</v>
      </c>
      <c r="Q20" t="str">
        <f>P20-N20</f>
        <v>1.329862</v>
      </c>
      <c r="R20" t="str">
        <v>9.603937</v>
      </c>
      <c r="S20" t="str">
        <v>9.963470</v>
      </c>
      <c r="T20" t="str">
        <f>(P20/AM20)*1000</f>
        <v>24.221737</v>
      </c>
      <c r="U20" t="str">
        <f>V20*BG20</f>
        <v>0.441786</v>
      </c>
      <c r="V20" t="str">
        <v>7.500000</v>
      </c>
      <c r="W20" t="str">
        <v>PSF-01031_20251124222037_848</v>
      </c>
      <c r="X20" t="str">
        <v>106.275200</v>
      </c>
      <c r="Y20" t="str">
        <v>227.419495</v>
      </c>
      <c r="Z20" t="str">
        <v>0.532691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1.075744</v>
      </c>
      <c r="AG20" t="str">
        <v>1.000000</v>
      </c>
      <c r="AH20" t="str">
        <v>41.05</v>
      </c>
      <c r="AI20" t="str">
        <v>39.57</v>
      </c>
      <c r="AJ20" t="str">
        <v>19.42</v>
      </c>
      <c r="AK20" t="str">
        <v>19.39</v>
      </c>
      <c r="AL20" t="str">
        <f>(AK20-AJ20)*(AJ20*0+0)+AK20</f>
        <v>19.39</v>
      </c>
      <c r="AM20" t="str">
        <v>93.27</v>
      </c>
      <c r="AN20" t="str">
        <v>1.1</v>
      </c>
      <c r="AO20" t="str">
        <v>-15.7</v>
      </c>
      <c r="AP20" t="str">
        <v>1487.4</v>
      </c>
      <c r="AQ20" t="str">
        <v>5</v>
      </c>
      <c r="AR20" t="str">
        <v>3.995</v>
      </c>
      <c r="AS20" t="str">
        <v>22:18:27</v>
      </c>
      <c r="AT20" t="str">
        <v>2025-11-24</v>
      </c>
      <c r="AU20" t="str">
        <v>-10.87</v>
      </c>
      <c r="AV20" t="str">
        <v>1</v>
      </c>
      <c r="AW20" t="str">
        <v>-0.000</v>
      </c>
      <c r="AX20" t="str">
        <v>-0.000</v>
      </c>
      <c r="AY20" t="str">
        <v>-0.000</v>
      </c>
      <c r="AZ20" t="str">
        <v>-0.097</v>
      </c>
      <c r="BA20" t="str">
        <v>0.102</v>
      </c>
      <c r="BB20" t="str">
        <v>0.307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8000</v>
      </c>
      <c r="BQ20" t="str">
        <v>5</v>
      </c>
      <c r="BR20" t="str">
        <v>-9999.000000</v>
      </c>
      <c r="BS20" t="str">
        <v>-9999.000000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2.472823</v>
      </c>
      <c r="CD20" t="str">
        <v>2.456436</v>
      </c>
      <c r="CE20" t="str">
        <v>0.606875</v>
      </c>
      <c r="CF20" t="str">
        <v>0.573051</v>
      </c>
      <c r="CG20" t="str">
        <v>0.341022</v>
      </c>
      <c r="CH20" t="str">
        <v>0.000739</v>
      </c>
      <c r="CI20" t="str">
        <v>0.233633</v>
      </c>
      <c r="CJ20" t="str">
        <v>0.111405</v>
      </c>
      <c r="CK20" t="str">
        <v>106.275200</v>
      </c>
      <c r="CL20" t="str">
        <v>0.000214</v>
      </c>
      <c r="CM20" t="str">
        <v>2.405086</v>
      </c>
      <c r="CN20" t="str">
        <v>0.000013</v>
      </c>
      <c r="CO20" t="str">
        <v>1.000000</v>
      </c>
      <c r="CP20" t="str">
        <v>2.372866</v>
      </c>
      <c r="CQ20" t="str">
        <v>0.000011</v>
      </c>
      <c r="CR20" t="str">
        <v>1.000000</v>
      </c>
      <c r="CS20" t="str">
        <v>0.601157</v>
      </c>
      <c r="CT20" t="str">
        <v>0.601293</v>
      </c>
      <c r="CU20" t="str">
        <v>0.106749</v>
      </c>
      <c r="CV20" t="str">
        <v>0.000000</v>
      </c>
      <c r="CW20" t="str">
        <v>PSF-01031_20251124222037_848</v>
      </c>
      <c r="CX20" t="str">
        <v>PFA-00872</v>
      </c>
      <c r="CY20" t="str">
        <v>PSA-00872</v>
      </c>
      <c r="CZ20" t="str">
        <v>PSF-01031</v>
      </c>
      <c r="DA20" t="str">
        <v>RHS-0785</v>
      </c>
      <c r="DB20" t="str">
        <v>3.0.0</v>
      </c>
      <c r="DC20" t="str">
        <v>2025-07-31T17:03:34.552Z</v>
      </c>
    </row>
    <row r="21">
      <c r="A21" t="str">
        <v>18</v>
      </c>
      <c r="B21" t="str">
        <v>22:21:43</v>
      </c>
      <c r="C21" t="str">
        <v>2025-11-24</v>
      </c>
      <c r="D21" t="str">
        <v>FB_Fl_Dark_8k</v>
      </c>
      <c r="E21" t="str">
        <v>Fern</v>
      </c>
      <c r="F21" t="str">
        <v/>
      </c>
      <c r="G21" t="str">
        <v/>
      </c>
      <c r="H21" t="str">
        <v/>
      </c>
      <c r="I21" t="str">
        <v/>
      </c>
      <c r="J21" t="str">
        <f>1/((1/L21)-(1/K21))</f>
        <v>0.001181</v>
      </c>
      <c r="K21" t="str">
        <f>BH21+(BI21*AN21)+(BJ21*AN21*POWER(V21,2))+(BK21*AN21*V21)+(BL21*POWER(AN21,2))</f>
        <v>0.034777</v>
      </c>
      <c r="L21" t="str">
        <f>((M21/1000)*(1000-((T21+S21)/2)))/(T21-S21)</f>
        <v>0.001142</v>
      </c>
      <c r="M21" t="str">
        <f>(AN21*(S21-R21))/(100*U21*(1000-S21))*1000</f>
        <v>0.009696</v>
      </c>
      <c r="N21" t="str">
        <v>0.932278</v>
      </c>
      <c r="O21" t="str">
        <v>0.899125</v>
      </c>
      <c r="P21" t="str">
        <f>0.61365*EXP((17.502*AL21)/(240.97+AL21))</f>
        <v>1.712690</v>
      </c>
      <c r="Q21" t="str">
        <f>P21-N21</f>
        <v>0.780413</v>
      </c>
      <c r="R21" t="str">
        <v>9.640205</v>
      </c>
      <c r="S21" t="str">
        <v>9.995658</v>
      </c>
      <c r="T21" t="str">
        <f>(P21/AM21)*1000</f>
        <v>18.363056</v>
      </c>
      <c r="U21" t="str">
        <f>V21*BG21</f>
        <v>0.441786</v>
      </c>
      <c r="V21" t="str">
        <v>7.500000</v>
      </c>
      <c r="W21" t="str">
        <v>PSF-01031_20251124222143_4d0</v>
      </c>
      <c r="X21" t="str">
        <v>94.601151</v>
      </c>
      <c r="Y21" t="str">
        <v>444.030396</v>
      </c>
      <c r="Z21" t="str">
        <v>0.786949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1.205428</v>
      </c>
      <c r="AG21" t="str">
        <v>1.000000</v>
      </c>
      <c r="AH21" t="str">
        <v>40.92</v>
      </c>
      <c r="AI21" t="str">
        <v>39.47</v>
      </c>
      <c r="AJ21" t="str">
        <v>19.52</v>
      </c>
      <c r="AK21" t="str">
        <v>15.01</v>
      </c>
      <c r="AL21" t="str">
        <f>(AK21-AJ21)*(AJ21*0+0)+AK21</f>
        <v>15.01</v>
      </c>
      <c r="AM21" t="str">
        <v>93.27</v>
      </c>
      <c r="AN21" t="str">
        <v>1.2</v>
      </c>
      <c r="AO21" t="str">
        <v>-16.1</v>
      </c>
      <c r="AP21" t="str">
        <v>1445.5</v>
      </c>
      <c r="AQ21" t="str">
        <v>4</v>
      </c>
      <c r="AR21" t="str">
        <v>3.994</v>
      </c>
      <c r="AS21" t="str">
        <v>22:18:27</v>
      </c>
      <c r="AT21" t="str">
        <v>2025-11-24</v>
      </c>
      <c r="AU21" t="str">
        <v>-10.87</v>
      </c>
      <c r="AV21" t="str">
        <v>1</v>
      </c>
      <c r="AW21" t="str">
        <v>0.000</v>
      </c>
      <c r="AX21" t="str">
        <v>0.000</v>
      </c>
      <c r="AY21" t="str">
        <v>0.000</v>
      </c>
      <c r="AZ21" t="str">
        <v>-0.050</v>
      </c>
      <c r="BA21" t="str">
        <v>0.223</v>
      </c>
      <c r="BB21" t="str">
        <v>0.871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8000</v>
      </c>
      <c r="BQ21" t="str">
        <v>5</v>
      </c>
      <c r="BR21" t="str">
        <v>-9999.000000</v>
      </c>
      <c r="BS21" t="str">
        <v>-9999.000000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2.472660</v>
      </c>
      <c r="CD21" t="str">
        <v>2.456243</v>
      </c>
      <c r="CE21" t="str">
        <v>0.607202</v>
      </c>
      <c r="CF21" t="str">
        <v>0.572352</v>
      </c>
      <c r="CG21" t="str">
        <v>0.339643</v>
      </c>
      <c r="CH21" t="str">
        <v>-0.047780</v>
      </c>
      <c r="CI21" t="str">
        <v>0.239459</v>
      </c>
      <c r="CJ21" t="str">
        <v>0.110281</v>
      </c>
      <c r="CK21" t="str">
        <v>94.601151</v>
      </c>
      <c r="CL21" t="str">
        <v>0.000210</v>
      </c>
      <c r="CM21" t="str">
        <v>2.405086</v>
      </c>
      <c r="CN21" t="str">
        <v>0.000013</v>
      </c>
      <c r="CO21" t="str">
        <v>1.000000</v>
      </c>
      <c r="CP21" t="str">
        <v>2.372866</v>
      </c>
      <c r="CQ21" t="str">
        <v>0.000011</v>
      </c>
      <c r="CR21" t="str">
        <v>1.000000</v>
      </c>
      <c r="CS21" t="str">
        <v>0.601157</v>
      </c>
      <c r="CT21" t="str">
        <v>0.601293</v>
      </c>
      <c r="CU21" t="str">
        <v>0.106749</v>
      </c>
      <c r="CV21" t="str">
        <v>0.000000</v>
      </c>
      <c r="CW21" t="str">
        <v>PSF-01031_20251124222143_4d0</v>
      </c>
      <c r="CX21" t="str">
        <v>PFA-00872</v>
      </c>
      <c r="CY21" t="str">
        <v>PSA-00872</v>
      </c>
      <c r="CZ21" t="str">
        <v>PSF-01031</v>
      </c>
      <c r="DA21" t="str">
        <v>RHS-0785</v>
      </c>
      <c r="DB21" t="str">
        <v>3.0.0</v>
      </c>
      <c r="DC21" t="str">
        <v>2025-07-31T17:03:34.552Z</v>
      </c>
    </row>
    <row r="22">
      <c r="A22" t="str">
        <v>19</v>
      </c>
      <c r="B22" t="str">
        <v>22:22:06</v>
      </c>
      <c r="C22" t="str">
        <v>2025-11-24</v>
      </c>
      <c r="D22" t="str">
        <v>FB_Fl_Dark_8k</v>
      </c>
      <c r="E22" t="str">
        <v>Fern</v>
      </c>
      <c r="F22" t="str">
        <v/>
      </c>
      <c r="G22" t="str">
        <v/>
      </c>
      <c r="H22" t="str">
        <v/>
      </c>
      <c r="I22" t="str">
        <v/>
      </c>
      <c r="J22" t="str">
        <f>1/((1/L22)-(1/K22))</f>
        <v>0.000300</v>
      </c>
      <c r="K22" t="str">
        <f>BH22+(BI22*AN22)+(BJ22*AN22*POWER(V22,2))+(BK22*AN22*V22)+(BL22*POWER(AN22,2))</f>
        <v>0.033556</v>
      </c>
      <c r="L22" t="str">
        <f>((M22/1000)*(1000-((T22+S22)/2)))/(T22-S22)</f>
        <v>0.000298</v>
      </c>
      <c r="M22" t="str">
        <f>(AN22*(S22-R22))/(100*U22*(1000-S22))*1000</f>
        <v>0.003025</v>
      </c>
      <c r="N22" t="str">
        <v>0.911395</v>
      </c>
      <c r="O22" t="str">
        <v>0.900671</v>
      </c>
      <c r="P22" t="str">
        <f>0.61365*EXP((17.502*AL22)/(240.97+AL22))</f>
        <v>1.845690</v>
      </c>
      <c r="Q22" t="str">
        <f>P22-N22</f>
        <v>0.934295</v>
      </c>
      <c r="R22" t="str">
        <v>9.656914</v>
      </c>
      <c r="S22" t="str">
        <v>9.771888</v>
      </c>
      <c r="T22" t="str">
        <f>(P22/AM22)*1000</f>
        <v>19.789312</v>
      </c>
      <c r="U22" t="str">
        <f>V22*BG22</f>
        <v>0.441786</v>
      </c>
      <c r="V22" t="str">
        <v>7.500000</v>
      </c>
      <c r="W22" t="str">
        <v>PSF-01031_20251124222206_33d</v>
      </c>
      <c r="X22" t="str">
        <v>102.698563</v>
      </c>
      <c r="Y22" t="str">
        <v>440.534241</v>
      </c>
      <c r="Z22" t="str">
        <v>0.766877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1.490385</v>
      </c>
      <c r="AG22" t="str">
        <v>1.000000</v>
      </c>
      <c r="AH22" t="str">
        <v>39.96</v>
      </c>
      <c r="AI22" t="str">
        <v>39.49</v>
      </c>
      <c r="AJ22" t="str">
        <v>19.54</v>
      </c>
      <c r="AK22" t="str">
        <v>16.18</v>
      </c>
      <c r="AL22" t="str">
        <f>(AK22-AJ22)*(AJ22*0+0)+AK22</f>
        <v>16.18</v>
      </c>
      <c r="AM22" t="str">
        <v>93.27</v>
      </c>
      <c r="AN22" t="str">
        <v>1.2</v>
      </c>
      <c r="AO22" t="str">
        <v>-16.2</v>
      </c>
      <c r="AP22" t="str">
        <v>1509.4</v>
      </c>
      <c r="AQ22" t="str">
        <v>5</v>
      </c>
      <c r="AR22" t="str">
        <v>3.992</v>
      </c>
      <c r="AS22" t="str">
        <v>22:18:27</v>
      </c>
      <c r="AT22" t="str">
        <v>2025-11-24</v>
      </c>
      <c r="AU22" t="str">
        <v>-10.87</v>
      </c>
      <c r="AV22" t="str">
        <v>1</v>
      </c>
      <c r="AW22" t="str">
        <v>-0.000</v>
      </c>
      <c r="AX22" t="str">
        <v>-0.000</v>
      </c>
      <c r="AY22" t="str">
        <v>-0.000</v>
      </c>
      <c r="AZ22" t="str">
        <v>0.344</v>
      </c>
      <c r="BA22" t="str">
        <v>0.382</v>
      </c>
      <c r="BB22" t="str">
        <v>0.666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8000</v>
      </c>
      <c r="BQ22" t="str">
        <v>5</v>
      </c>
      <c r="BR22" t="str">
        <v>-9999.000000</v>
      </c>
      <c r="BS22" t="str">
        <v>-9999.000000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2.472695</v>
      </c>
      <c r="CD22" t="str">
        <v>2.454920</v>
      </c>
      <c r="CE22" t="str">
        <v>0.606989</v>
      </c>
      <c r="CF22" t="str">
        <v>0.572047</v>
      </c>
      <c r="CG22" t="str">
        <v>0.339411</v>
      </c>
      <c r="CH22" t="str">
        <v>-0.035540</v>
      </c>
      <c r="CI22" t="str">
        <v>0.241463</v>
      </c>
      <c r="CJ22" t="str">
        <v>0.111230</v>
      </c>
      <c r="CK22" t="str">
        <v>102.698563</v>
      </c>
      <c r="CL22" t="str">
        <v>0.000209</v>
      </c>
      <c r="CM22" t="str">
        <v>2.405086</v>
      </c>
      <c r="CN22" t="str">
        <v>0.000013</v>
      </c>
      <c r="CO22" t="str">
        <v>1.000000</v>
      </c>
      <c r="CP22" t="str">
        <v>2.372866</v>
      </c>
      <c r="CQ22" t="str">
        <v>0.000011</v>
      </c>
      <c r="CR22" t="str">
        <v>1.000000</v>
      </c>
      <c r="CS22" t="str">
        <v>0.601157</v>
      </c>
      <c r="CT22" t="str">
        <v>0.601293</v>
      </c>
      <c r="CU22" t="str">
        <v>0.106749</v>
      </c>
      <c r="CV22" t="str">
        <v>0.000000</v>
      </c>
      <c r="CW22" t="str">
        <v>PSF-01031_20251124222206_33d</v>
      </c>
      <c r="CX22" t="str">
        <v>PFA-00872</v>
      </c>
      <c r="CY22" t="str">
        <v>PSA-00872</v>
      </c>
      <c r="CZ22" t="str">
        <v>PSF-01031</v>
      </c>
      <c r="DA22" t="str">
        <v>RHS-0785</v>
      </c>
      <c r="DB22" t="str">
        <v>3.0.0</v>
      </c>
      <c r="DC22" t="str">
        <v>2025-07-31T17:03:34.552Z</v>
      </c>
    </row>
    <row r="23">
      <c r="A23" t="str">
        <v>20</v>
      </c>
      <c r="B23" t="str">
        <v>22:22:24</v>
      </c>
      <c r="C23" t="str">
        <v>2025-11-24</v>
      </c>
      <c r="D23" t="str">
        <v>FB_Fl_Dark_8k</v>
      </c>
      <c r="E23" t="str">
        <v>Fern</v>
      </c>
      <c r="F23" t="str">
        <v/>
      </c>
      <c r="G23" t="str">
        <v/>
      </c>
      <c r="H23" t="str">
        <v/>
      </c>
      <c r="I23" t="str">
        <v/>
      </c>
      <c r="J23" t="str">
        <f>1/((1/L23)-(1/K23))</f>
        <v>0.000715</v>
      </c>
      <c r="K23" t="str">
        <f>BH23+(BI23*AN23)+(BJ23*AN23*POWER(V23,2))+(BK23*AN23*V23)+(BL23*POWER(AN23,2))</f>
        <v>0.035904</v>
      </c>
      <c r="L23" t="str">
        <f>((M23/1000)*(1000-((T23+S23)/2)))/(T23-S23)</f>
        <v>0.000701</v>
      </c>
      <c r="M23" t="str">
        <f>(AN23*(S23-R23))/(100*U23*(1000-S23))*1000</f>
        <v>0.007320</v>
      </c>
      <c r="N23" t="str">
        <v>0.926248</v>
      </c>
      <c r="O23" t="str">
        <v>0.902004</v>
      </c>
      <c r="P23" t="str">
        <f>0.61365*EXP((17.502*AL23)/(240.97+AL23))</f>
        <v>1.885413</v>
      </c>
      <c r="Q23" t="str">
        <f>P23-N23</f>
        <v>0.959165</v>
      </c>
      <c r="R23" t="str">
        <v>9.670631</v>
      </c>
      <c r="S23" t="str">
        <v>9.930553</v>
      </c>
      <c r="T23" t="str">
        <f>(P23/AM23)*1000</f>
        <v>20.214029</v>
      </c>
      <c r="U23" t="str">
        <f>V23*BG23</f>
        <v>0.441786</v>
      </c>
      <c r="V23" t="str">
        <v>7.500000</v>
      </c>
      <c r="W23" t="str">
        <v>PSF-01031_20251124222224_93a</v>
      </c>
      <c r="X23" t="str">
        <v>104.168060</v>
      </c>
      <c r="Y23" t="str">
        <v>444.262848</v>
      </c>
      <c r="Z23" t="str">
        <v>0.765526</v>
      </c>
      <c r="AA23" t="str">
        <v>0.000000</v>
      </c>
      <c r="AB23" t="str">
        <v>0.000000</v>
      </c>
      <c r="AC23" t="str">
        <v>0.000000</v>
      </c>
      <c r="AD23" t="str">
        <v>0.5</v>
      </c>
      <c r="AE23" t="str">
        <v>0.80</v>
      </c>
      <c r="AF23" t="str">
        <f>AC23*AD23*AE23*AQ23</f>
        <v>1.559124</v>
      </c>
      <c r="AG23" t="str">
        <v>1.000000</v>
      </c>
      <c r="AH23" t="str">
        <v>40.58</v>
      </c>
      <c r="AI23" t="str">
        <v>39.51</v>
      </c>
      <c r="AJ23" t="str">
        <v>19.55</v>
      </c>
      <c r="AK23" t="str">
        <v>16.51</v>
      </c>
      <c r="AL23" t="str">
        <f>(AK23-AJ23)*(AJ23*0+0)+AK23</f>
        <v>16.51</v>
      </c>
      <c r="AM23" t="str">
        <v>93.27</v>
      </c>
      <c r="AN23" t="str">
        <v>1.2</v>
      </c>
      <c r="AO23" t="str">
        <v>-16.3</v>
      </c>
      <c r="AP23" t="str">
        <v>1423.7</v>
      </c>
      <c r="AQ23" t="str">
        <v>5</v>
      </c>
      <c r="AR23" t="str">
        <v>3.957</v>
      </c>
      <c r="AS23" t="str">
        <v>22:18:27</v>
      </c>
      <c r="AT23" t="str">
        <v>2025-11-24</v>
      </c>
      <c r="AU23" t="str">
        <v>-10.87</v>
      </c>
      <c r="AV23" t="str">
        <v>1</v>
      </c>
      <c r="AW23" t="str">
        <v>0.000</v>
      </c>
      <c r="AX23" t="str">
        <v>0.000</v>
      </c>
      <c r="AY23" t="str">
        <v>0.000</v>
      </c>
      <c r="AZ23" t="str">
        <v>-0.058</v>
      </c>
      <c r="BA23" t="str">
        <v>0.050</v>
      </c>
      <c r="BB23" t="str">
        <v>0.622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1</v>
      </c>
      <c r="BO23" t="str">
        <v>rectangular</v>
      </c>
      <c r="BP23" t="str">
        <v>8000</v>
      </c>
      <c r="BQ23" t="str">
        <v>5</v>
      </c>
      <c r="BR23" t="str">
        <v>-9999.000000</v>
      </c>
      <c r="BS23" t="str">
        <v>-9999.000000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2.472724</v>
      </c>
      <c r="CD23" t="str">
        <v>2.455760</v>
      </c>
      <c r="CE23" t="str">
        <v>0.607399</v>
      </c>
      <c r="CF23" t="str">
        <v>0.571899</v>
      </c>
      <c r="CG23" t="str">
        <v>0.339203</v>
      </c>
      <c r="CH23" t="str">
        <v>-0.032121</v>
      </c>
      <c r="CI23" t="str">
        <v>0.242953</v>
      </c>
      <c r="CJ23" t="str">
        <v>0.111445</v>
      </c>
      <c r="CK23" t="str">
        <v>104.168060</v>
      </c>
      <c r="CL23" t="str">
        <v>0.000211</v>
      </c>
      <c r="CM23" t="str">
        <v>2.405086</v>
      </c>
      <c r="CN23" t="str">
        <v>0.000013</v>
      </c>
      <c r="CO23" t="str">
        <v>1.000000</v>
      </c>
      <c r="CP23" t="str">
        <v>2.372866</v>
      </c>
      <c r="CQ23" t="str">
        <v>0.000011</v>
      </c>
      <c r="CR23" t="str">
        <v>1.000000</v>
      </c>
      <c r="CS23" t="str">
        <v>0.601157</v>
      </c>
      <c r="CT23" t="str">
        <v>0.601293</v>
      </c>
      <c r="CU23" t="str">
        <v>0.106749</v>
      </c>
      <c r="CV23" t="str">
        <v>0.000000</v>
      </c>
      <c r="CW23" t="str">
        <v>PSF-01031_20251124222224_93a</v>
      </c>
      <c r="CX23" t="str">
        <v>PFA-00872</v>
      </c>
      <c r="CY23" t="str">
        <v>PSA-00872</v>
      </c>
      <c r="CZ23" t="str">
        <v>PSF-01031</v>
      </c>
      <c r="DA23" t="str">
        <v>RHS-0785</v>
      </c>
      <c r="DB23" t="str">
        <v>3.0.0</v>
      </c>
      <c r="DC23" t="str">
        <v>2025-07-31T17:03:34.552Z</v>
      </c>
    </row>
    <row r="24">
      <c r="A24" t="str">
        <v>21</v>
      </c>
      <c r="B24" t="str">
        <v>22:22:43</v>
      </c>
      <c r="C24" t="str">
        <v>2025-11-24</v>
      </c>
      <c r="D24" t="str">
        <v>FB_Fl_Dark_8k</v>
      </c>
      <c r="E24" t="str">
        <v>Fern</v>
      </c>
      <c r="F24" t="str">
        <v/>
      </c>
      <c r="G24" t="str">
        <v/>
      </c>
      <c r="H24" t="str">
        <v/>
      </c>
      <c r="I24" t="str">
        <v/>
      </c>
      <c r="J24" t="str">
        <f>1/((1/L24)-(1/K24))</f>
        <v>0.001101</v>
      </c>
      <c r="K24" t="str">
        <f>BH24+(BI24*AN24)+(BJ24*AN24*POWER(V24,2))+(BK24*AN24*V24)+(BL24*POWER(AN24,2))</f>
        <v>0.033513</v>
      </c>
      <c r="L24" t="str">
        <f>((M24/1000)*(1000-((T24+S24)/2)))/(T24-S24)</f>
        <v>0.001066</v>
      </c>
      <c r="M24" t="str">
        <f>(AN24*(S24-R24))/(100*U24*(1000-S24))*1000</f>
        <v>0.012289</v>
      </c>
      <c r="N24" t="str">
        <v>0.946755</v>
      </c>
      <c r="O24" t="str">
        <v>0.903156</v>
      </c>
      <c r="P24" t="str">
        <f>0.61365*EXP((17.502*AL24)/(240.97+AL24))</f>
        <v>2.005136</v>
      </c>
      <c r="Q24" t="str">
        <f>P24-N24</f>
        <v>1.058382</v>
      </c>
      <c r="R24" t="str">
        <v>9.683812</v>
      </c>
      <c r="S24" t="str">
        <v>10.151285</v>
      </c>
      <c r="T24" t="str">
        <f>(P24/AM24)*1000</f>
        <v>21.499456</v>
      </c>
      <c r="U24" t="str">
        <f>V24*BG24</f>
        <v>0.441786</v>
      </c>
      <c r="V24" t="str">
        <v>7.500000</v>
      </c>
      <c r="W24" t="str">
        <v>PSF-01031_20251124222243_83e</v>
      </c>
      <c r="X24" t="str">
        <v>109.298584</v>
      </c>
      <c r="Y24" t="str">
        <v>161.160706</v>
      </c>
      <c r="Z24" t="str">
        <v>0.321804</v>
      </c>
      <c r="AA24" t="str">
        <v>0.000000</v>
      </c>
      <c r="AB24" t="str">
        <v>0.000000</v>
      </c>
      <c r="AC24" t="str">
        <v>0.000000</v>
      </c>
      <c r="AD24" t="str">
        <v>0.5</v>
      </c>
      <c r="AE24" t="str">
        <v>0.80</v>
      </c>
      <c r="AF24" t="str">
        <f>AC24*AD24*AE24*AQ24</f>
        <v>0.632846</v>
      </c>
      <c r="AG24" t="str">
        <v>1.000000</v>
      </c>
      <c r="AH24" t="str">
        <v>41.44</v>
      </c>
      <c r="AI24" t="str">
        <v>39.53</v>
      </c>
      <c r="AJ24" t="str">
        <v>19.57</v>
      </c>
      <c r="AK24" t="str">
        <v>17.48</v>
      </c>
      <c r="AL24" t="str">
        <f>(AK24-AJ24)*(AJ24*0+0)+AK24</f>
        <v>17.48</v>
      </c>
      <c r="AM24" t="str">
        <v>93.26</v>
      </c>
      <c r="AN24" t="str">
        <v>1.1</v>
      </c>
      <c r="AO24" t="str">
        <v>-15.9</v>
      </c>
      <c r="AP24" t="str">
        <v>1484.2</v>
      </c>
      <c r="AQ24" t="str">
        <v>5</v>
      </c>
      <c r="AR24" t="str">
        <v>3.991</v>
      </c>
      <c r="AS24" t="str">
        <v>22:18:27</v>
      </c>
      <c r="AT24" t="str">
        <v>2025-11-24</v>
      </c>
      <c r="AU24" t="str">
        <v>-10.87</v>
      </c>
      <c r="AV24" t="str">
        <v>1</v>
      </c>
      <c r="AW24" t="str">
        <v>0.000</v>
      </c>
      <c r="AX24" t="str">
        <v>0.000</v>
      </c>
      <c r="AY24" t="str">
        <v>0.001</v>
      </c>
      <c r="AZ24" t="str">
        <v>0.238</v>
      </c>
      <c r="BA24" t="str">
        <v>0.351</v>
      </c>
      <c r="BB24" t="str">
        <v>0.676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1</v>
      </c>
      <c r="BO24" t="str">
        <v>rectangular</v>
      </c>
      <c r="BP24" t="str">
        <v>8000</v>
      </c>
      <c r="BQ24" t="str">
        <v>5</v>
      </c>
      <c r="BR24" t="str">
        <v>-9999.000000</v>
      </c>
      <c r="BS24" t="str">
        <v>-9999.000000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2.472741</v>
      </c>
      <c r="CD24" t="str">
        <v>2.456936</v>
      </c>
      <c r="CE24" t="str">
        <v>0.606981</v>
      </c>
      <c r="CF24" t="str">
        <v>0.572599</v>
      </c>
      <c r="CG24" t="str">
        <v>0.338994</v>
      </c>
      <c r="CH24" t="str">
        <v>-0.021797</v>
      </c>
      <c r="CI24" t="str">
        <v>0.244485</v>
      </c>
      <c r="CJ24" t="str">
        <v>0.111283</v>
      </c>
      <c r="CK24" t="str">
        <v>109.298584</v>
      </c>
      <c r="CL24" t="str">
        <v>0.000212</v>
      </c>
      <c r="CM24" t="str">
        <v>2.405086</v>
      </c>
      <c r="CN24" t="str">
        <v>0.000013</v>
      </c>
      <c r="CO24" t="str">
        <v>1.000000</v>
      </c>
      <c r="CP24" t="str">
        <v>2.372866</v>
      </c>
      <c r="CQ24" t="str">
        <v>0.000011</v>
      </c>
      <c r="CR24" t="str">
        <v>1.000000</v>
      </c>
      <c r="CS24" t="str">
        <v>0.601157</v>
      </c>
      <c r="CT24" t="str">
        <v>0.601293</v>
      </c>
      <c r="CU24" t="str">
        <v>0.106749</v>
      </c>
      <c r="CV24" t="str">
        <v>0.000000</v>
      </c>
      <c r="CW24" t="str">
        <v>PSF-01031_20251124222243_83e</v>
      </c>
      <c r="CX24" t="str">
        <v>PFA-00872</v>
      </c>
      <c r="CY24" t="str">
        <v>PSA-00872</v>
      </c>
      <c r="CZ24" t="str">
        <v>PSF-01031</v>
      </c>
      <c r="DA24" t="str">
        <v>RHS-0785</v>
      </c>
      <c r="DB24" t="str">
        <v>3.0.0</v>
      </c>
      <c r="DC24" t="str">
        <v>2025-07-31T17:03:34.552Z</v>
      </c>
    </row>
    <row r="25">
      <c r="A25" t="str">
        <v>22</v>
      </c>
      <c r="B25" t="str">
        <v>22:23:25</v>
      </c>
      <c r="C25" t="str">
        <v>2025-11-24</v>
      </c>
      <c r="D25" t="str">
        <v>FB_Fl_Dark_8k</v>
      </c>
      <c r="E25" t="str">
        <v>Fern</v>
      </c>
      <c r="F25" t="str">
        <v/>
      </c>
      <c r="G25" t="str">
        <v/>
      </c>
      <c r="H25" t="str">
        <v/>
      </c>
      <c r="I25" t="str">
        <v/>
      </c>
      <c r="J25" t="str">
        <f>1/((1/L25)-(1/K25))</f>
        <v>0.001071</v>
      </c>
      <c r="K25" t="str">
        <f>BH25+(BI25*AN25)+(BJ25*AN25*POWER(V25,2))+(BK25*AN25*V25)+(BL25*POWER(AN25,2))</f>
        <v>0.033888</v>
      </c>
      <c r="L25" t="str">
        <f>((M25/1000)*(1000-((T25+S25)/2)))/(T25-S25)</f>
        <v>0.001038</v>
      </c>
      <c r="M25" t="str">
        <f>(AN25*(S25-R25))/(100*U25*(1000-S25))*1000</f>
        <v>0.011438</v>
      </c>
      <c r="N25" t="str">
        <v>0.946907</v>
      </c>
      <c r="O25" t="str">
        <v>0.906776</v>
      </c>
      <c r="P25" t="str">
        <f>0.61365*EXP((17.502*AL25)/(240.97+AL25))</f>
        <v>1.958554</v>
      </c>
      <c r="Q25" t="str">
        <f>P25-N25</f>
        <v>1.011647</v>
      </c>
      <c r="R25" t="str">
        <v>9.722502</v>
      </c>
      <c r="S25" t="str">
        <v>10.152781</v>
      </c>
      <c r="T25" t="str">
        <f>(P25/AM25)*1000</f>
        <v>20.999712</v>
      </c>
      <c r="U25" t="str">
        <f>V25*BG25</f>
        <v>0.441786</v>
      </c>
      <c r="V25" t="str">
        <v>7.500000</v>
      </c>
      <c r="W25" t="str">
        <v>PSF-01031_20251124222325_ed6</v>
      </c>
      <c r="X25" t="str">
        <v>68.109154</v>
      </c>
      <c r="Y25" t="str">
        <v>343.967560</v>
      </c>
      <c r="Z25" t="str">
        <v>0.801990</v>
      </c>
      <c r="AA25" t="str">
        <v>0.000000</v>
      </c>
      <c r="AB25" t="str">
        <v>0.000000</v>
      </c>
      <c r="AC25" t="str">
        <v>0.000000</v>
      </c>
      <c r="AD25" t="str">
        <v>0.5</v>
      </c>
      <c r="AE25" t="str">
        <v>0.80</v>
      </c>
      <c r="AF25" t="str">
        <f>AC25*AD25*AE25*AQ25</f>
        <v>1.528892</v>
      </c>
      <c r="AG25" t="str">
        <v>1.000000</v>
      </c>
      <c r="AH25" t="str">
        <v>41.32</v>
      </c>
      <c r="AI25" t="str">
        <v>39.57</v>
      </c>
      <c r="AJ25" t="str">
        <v>19.62</v>
      </c>
      <c r="AK25" t="str">
        <v>17.11</v>
      </c>
      <c r="AL25" t="str">
        <f>(AK25-AJ25)*(AJ25*0+0)+AK25</f>
        <v>17.11</v>
      </c>
      <c r="AM25" t="str">
        <v>93.27</v>
      </c>
      <c r="AN25" t="str">
        <v>1.2</v>
      </c>
      <c r="AO25" t="str">
        <v>-16.3</v>
      </c>
      <c r="AP25" t="str">
        <v>1505.5</v>
      </c>
      <c r="AQ25" t="str">
        <v>5</v>
      </c>
      <c r="AR25" t="str">
        <v>3.955</v>
      </c>
      <c r="AS25" t="str">
        <v>22:18:27</v>
      </c>
      <c r="AT25" t="str">
        <v>2025-11-24</v>
      </c>
      <c r="AU25" t="str">
        <v>-10.87</v>
      </c>
      <c r="AV25" t="str">
        <v>1</v>
      </c>
      <c r="AW25" t="str">
        <v>0.000</v>
      </c>
      <c r="AX25" t="str">
        <v>0.000</v>
      </c>
      <c r="AY25" t="str">
        <v>0.000</v>
      </c>
      <c r="AZ25" t="str">
        <v>-0.118</v>
      </c>
      <c r="BA25" t="str">
        <v>-0.031</v>
      </c>
      <c r="BB25" t="str">
        <v>0.038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1</v>
      </c>
      <c r="BO25" t="str">
        <v>rectangular</v>
      </c>
      <c r="BP25" t="str">
        <v>8000</v>
      </c>
      <c r="BQ25" t="str">
        <v>5</v>
      </c>
      <c r="BR25" t="str">
        <v>-9999.000000</v>
      </c>
      <c r="BS25" t="str">
        <v>-9999.000000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2.472790</v>
      </c>
      <c r="CD25" t="str">
        <v>2.456763</v>
      </c>
      <c r="CE25" t="str">
        <v>0.607047</v>
      </c>
      <c r="CF25" t="str">
        <v>0.571841</v>
      </c>
      <c r="CG25" t="str">
        <v>0.338331</v>
      </c>
      <c r="CH25" t="str">
        <v>-0.026368</v>
      </c>
      <c r="CI25" t="str">
        <v>0.248023</v>
      </c>
      <c r="CJ25" t="str">
        <v>0.111144</v>
      </c>
      <c r="CK25" t="str">
        <v>68.109154</v>
      </c>
      <c r="CL25" t="str">
        <v>0.000212</v>
      </c>
      <c r="CM25" t="str">
        <v>2.405086</v>
      </c>
      <c r="CN25" t="str">
        <v>0.000013</v>
      </c>
      <c r="CO25" t="str">
        <v>1.000000</v>
      </c>
      <c r="CP25" t="str">
        <v>2.372866</v>
      </c>
      <c r="CQ25" t="str">
        <v>0.000011</v>
      </c>
      <c r="CR25" t="str">
        <v>1.000000</v>
      </c>
      <c r="CS25" t="str">
        <v>0.601157</v>
      </c>
      <c r="CT25" t="str">
        <v>0.601293</v>
      </c>
      <c r="CU25" t="str">
        <v>0.106749</v>
      </c>
      <c r="CV25" t="str">
        <v>0.000000</v>
      </c>
      <c r="CW25" t="str">
        <v>PSF-01031_20251124222325_ed6</v>
      </c>
      <c r="CX25" t="str">
        <v>PFA-00872</v>
      </c>
      <c r="CY25" t="str">
        <v>PSA-00872</v>
      </c>
      <c r="CZ25" t="str">
        <v>PSF-01031</v>
      </c>
      <c r="DA25" t="str">
        <v>RHS-0785</v>
      </c>
      <c r="DB25" t="str">
        <v>3.0.0</v>
      </c>
      <c r="DC25" t="str">
        <v>2025-07-31T17:03:34.552Z</v>
      </c>
    </row>
    <row r="26">
      <c r="A26" t="str">
        <v>23</v>
      </c>
      <c r="B26" t="str">
        <v>22:23:44</v>
      </c>
      <c r="C26" t="str">
        <v>2025-11-24</v>
      </c>
      <c r="D26" t="str">
        <v>FB_Fl_Dark_8k</v>
      </c>
      <c r="E26" t="str">
        <v>Fern</v>
      </c>
      <c r="F26" t="str">
        <v/>
      </c>
      <c r="G26" t="str">
        <v/>
      </c>
      <c r="H26" t="str">
        <v/>
      </c>
      <c r="I26" t="str">
        <v/>
      </c>
      <c r="J26" t="str">
        <f>1/((1/L26)-(1/K26))</f>
        <v>0.001257</v>
      </c>
      <c r="K26" t="str">
        <f>BH26+(BI26*AN26)+(BJ26*AN26*POWER(V26,2))+(BK26*AN26*V26)+(BL26*POWER(AN26,2))</f>
        <v>0.033266</v>
      </c>
      <c r="L26" t="str">
        <f>((M26/1000)*(1000-((T26+S26)/2)))/(T26-S26)</f>
        <v>0.001211</v>
      </c>
      <c r="M26" t="str">
        <f>(AN26*(S26-R26))/(100*U26*(1000-S26))*1000</f>
        <v>0.012051</v>
      </c>
      <c r="N26" t="str">
        <v>0.951161</v>
      </c>
      <c r="O26" t="str">
        <v>0.908091</v>
      </c>
      <c r="P26" t="str">
        <f>0.61365*EXP((17.502*AL26)/(240.97+AL26))</f>
        <v>1.865042</v>
      </c>
      <c r="Q26" t="str">
        <f>P26-N26</f>
        <v>0.913882</v>
      </c>
      <c r="R26" t="str">
        <v>9.736889</v>
      </c>
      <c r="S26" t="str">
        <v>10.198692</v>
      </c>
      <c r="T26" t="str">
        <f>(P26/AM26)*1000</f>
        <v>19.997663</v>
      </c>
      <c r="U26" t="str">
        <f>V26*BG26</f>
        <v>0.441786</v>
      </c>
      <c r="V26" t="str">
        <v>7.500000</v>
      </c>
      <c r="W26" t="str">
        <v>PSF-01031_20251124222344_62f</v>
      </c>
      <c r="X26" t="str">
        <v>108.109833</v>
      </c>
      <c r="Y26" t="str">
        <v>504.561768</v>
      </c>
      <c r="Z26" t="str">
        <v>0.785735</v>
      </c>
      <c r="AA26" t="str">
        <v>0.000000</v>
      </c>
      <c r="AB26" t="str">
        <v>0.000000</v>
      </c>
      <c r="AC26" t="str">
        <v>0.000000</v>
      </c>
      <c r="AD26" t="str">
        <v>0.5</v>
      </c>
      <c r="AE26" t="str">
        <v>0.80</v>
      </c>
      <c r="AF26" t="str">
        <f>AC26*AD26*AE26*AQ26</f>
        <v>1.581270</v>
      </c>
      <c r="AG26" t="str">
        <v>1.000000</v>
      </c>
      <c r="AH26" t="str">
        <v>41.45</v>
      </c>
      <c r="AI26" t="str">
        <v>39.57</v>
      </c>
      <c r="AJ26" t="str">
        <v>19.64</v>
      </c>
      <c r="AK26" t="str">
        <v>16.34</v>
      </c>
      <c r="AL26" t="str">
        <f>(AK26-AJ26)*(AJ26*0+0)+AK26</f>
        <v>16.34</v>
      </c>
      <c r="AM26" t="str">
        <v>93.26</v>
      </c>
      <c r="AN26" t="str">
        <v>1.1</v>
      </c>
      <c r="AO26" t="str">
        <v>-15.9</v>
      </c>
      <c r="AP26" t="str">
        <v>1490.5</v>
      </c>
      <c r="AQ26" t="str">
        <v>5</v>
      </c>
      <c r="AR26" t="str">
        <v>3.987</v>
      </c>
      <c r="AS26" t="str">
        <v>22:18:27</v>
      </c>
      <c r="AT26" t="str">
        <v>2025-11-24</v>
      </c>
      <c r="AU26" t="str">
        <v>-10.87</v>
      </c>
      <c r="AV26" t="str">
        <v>1</v>
      </c>
      <c r="AW26" t="str">
        <v>0.000</v>
      </c>
      <c r="AX26" t="str">
        <v>0.000</v>
      </c>
      <c r="AY26" t="str">
        <v>-0.000</v>
      </c>
      <c r="AZ26" t="str">
        <v>0.173</v>
      </c>
      <c r="BA26" t="str">
        <v>0.197</v>
      </c>
      <c r="BB26" t="str">
        <v>0.317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1</v>
      </c>
      <c r="BO26" t="str">
        <v>rectangular</v>
      </c>
      <c r="BP26" t="str">
        <v>8000</v>
      </c>
      <c r="BQ26" t="str">
        <v>5</v>
      </c>
      <c r="BR26" t="str">
        <v>-9999.000000</v>
      </c>
      <c r="BS26" t="str">
        <v>-9999.000000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2.472799</v>
      </c>
      <c r="CD26" t="str">
        <v>2.456942</v>
      </c>
      <c r="CE26" t="str">
        <v>0.606938</v>
      </c>
      <c r="CF26" t="str">
        <v>0.572683</v>
      </c>
      <c r="CG26" t="str">
        <v>0.338058</v>
      </c>
      <c r="CH26" t="str">
        <v>-0.034887</v>
      </c>
      <c r="CI26" t="str">
        <v>0.249659</v>
      </c>
      <c r="CJ26" t="str">
        <v>0.111389</v>
      </c>
      <c r="CK26" t="str">
        <v>108.109833</v>
      </c>
      <c r="CL26" t="str">
        <v>0.000211</v>
      </c>
      <c r="CM26" t="str">
        <v>2.405086</v>
      </c>
      <c r="CN26" t="str">
        <v>0.000013</v>
      </c>
      <c r="CO26" t="str">
        <v>1.000000</v>
      </c>
      <c r="CP26" t="str">
        <v>2.372866</v>
      </c>
      <c r="CQ26" t="str">
        <v>0.000011</v>
      </c>
      <c r="CR26" t="str">
        <v>1.000000</v>
      </c>
      <c r="CS26" t="str">
        <v>0.601157</v>
      </c>
      <c r="CT26" t="str">
        <v>0.601293</v>
      </c>
      <c r="CU26" t="str">
        <v>0.106749</v>
      </c>
      <c r="CV26" t="str">
        <v>0.000000</v>
      </c>
      <c r="CW26" t="str">
        <v>PSF-01031_20251124222344_62f</v>
      </c>
      <c r="CX26" t="str">
        <v>PFA-00872</v>
      </c>
      <c r="CY26" t="str">
        <v>PSA-00872</v>
      </c>
      <c r="CZ26" t="str">
        <v>PSF-01031</v>
      </c>
      <c r="DA26" t="str">
        <v>RHS-0785</v>
      </c>
      <c r="DB26" t="str">
        <v>3.0.0</v>
      </c>
      <c r="DC26" t="str">
        <v>2025-07-31T17:03:34.552Z</v>
      </c>
    </row>
    <row r="27">
      <c r="A27" t="str">
        <v>24</v>
      </c>
      <c r="B27" t="str">
        <v>22:24:41</v>
      </c>
      <c r="C27" t="str">
        <v>2025-11-24</v>
      </c>
      <c r="D27" t="str">
        <v>FB_Fl_Dark_8k</v>
      </c>
      <c r="E27" t="str">
        <v>Fern</v>
      </c>
      <c r="F27" t="str">
        <v/>
      </c>
      <c r="G27" t="str">
        <v/>
      </c>
      <c r="H27" t="str">
        <v/>
      </c>
      <c r="I27" t="str">
        <v/>
      </c>
      <c r="J27" t="str">
        <f>1/((1/L27)-(1/K27))</f>
        <v>-0.000299</v>
      </c>
      <c r="K27" t="str">
        <f>BH27+(BI27*AN27)+(BJ27*AN27*POWER(V27,2))+(BK27*AN27*V27)+(BL27*POWER(AN27,2))</f>
        <v>0.033126</v>
      </c>
      <c r="L27" t="str">
        <f>((M27/1000)*(1000-((T27+S27)/2)))/(T27-S27)</f>
        <v>-0.000302</v>
      </c>
      <c r="M27" t="str">
        <f>(AN27*(S27-R27))/(100*U27*(1000-S27))*1000</f>
        <v>-0.003161</v>
      </c>
      <c r="N27" t="str">
        <v>0.900407</v>
      </c>
      <c r="O27" t="str">
        <v>0.911761</v>
      </c>
      <c r="P27" t="str">
        <f>0.61365*EXP((17.502*AL27)/(240.97+AL27))</f>
        <v>1.862494</v>
      </c>
      <c r="Q27" t="str">
        <f>P27-N27</f>
        <v>0.962087</v>
      </c>
      <c r="R27" t="str">
        <v>9.775265</v>
      </c>
      <c r="S27" t="str">
        <v>9.653533</v>
      </c>
      <c r="T27" t="str">
        <f>(P27/AM27)*1000</f>
        <v>19.968363</v>
      </c>
      <c r="U27" t="str">
        <f>V27*BG27</f>
        <v>0.441786</v>
      </c>
      <c r="V27" t="str">
        <v>7.500000</v>
      </c>
      <c r="W27" t="str">
        <v>PSF-01031_20251124222441_52f</v>
      </c>
      <c r="X27" t="str">
        <v>81.023453</v>
      </c>
      <c r="Y27" t="str">
        <v>430.292480</v>
      </c>
      <c r="Z27" t="str">
        <v>0.811701</v>
      </c>
      <c r="AA27" t="str">
        <v>0.000000</v>
      </c>
      <c r="AB27" t="str">
        <v>0.000000</v>
      </c>
      <c r="AC27" t="str">
        <v>0.000000</v>
      </c>
      <c r="AD27" t="str">
        <v>0.5</v>
      </c>
      <c r="AE27" t="str">
        <v>0.80</v>
      </c>
      <c r="AF27" t="str">
        <f>AC27*AD27*AE27*AQ27</f>
        <v>1.600539</v>
      </c>
      <c r="AG27" t="str">
        <v>1.000000</v>
      </c>
      <c r="AH27" t="str">
        <v>39.10</v>
      </c>
      <c r="AI27" t="str">
        <v>39.59</v>
      </c>
      <c r="AJ27" t="str">
        <v>19.70</v>
      </c>
      <c r="AK27" t="str">
        <v>16.32</v>
      </c>
      <c r="AL27" t="str">
        <f>(AK27-AJ27)*(AJ27*0+0)+AK27</f>
        <v>16.32</v>
      </c>
      <c r="AM27" t="str">
        <v>93.27</v>
      </c>
      <c r="AN27" t="str">
        <v>1.1</v>
      </c>
      <c r="AO27" t="str">
        <v>-16.1</v>
      </c>
      <c r="AP27" t="str">
        <v>1513.5</v>
      </c>
      <c r="AQ27" t="str">
        <v>5</v>
      </c>
      <c r="AR27" t="str">
        <v>3.987</v>
      </c>
      <c r="AS27" t="str">
        <v>22:18:27</v>
      </c>
      <c r="AT27" t="str">
        <v>2025-11-24</v>
      </c>
      <c r="AU27" t="str">
        <v>-10.87</v>
      </c>
      <c r="AV27" t="str">
        <v>1</v>
      </c>
      <c r="AW27" t="str">
        <v>-0.000</v>
      </c>
      <c r="AX27" t="str">
        <v>-0.000</v>
      </c>
      <c r="AY27" t="str">
        <v>-0.000</v>
      </c>
      <c r="AZ27" t="str">
        <v>-0.012</v>
      </c>
      <c r="BA27" t="str">
        <v>-0.360</v>
      </c>
      <c r="BB27" t="str">
        <v>0.248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1</v>
      </c>
      <c r="BO27" t="str">
        <v>rectangular</v>
      </c>
      <c r="BP27" t="str">
        <v>8000</v>
      </c>
      <c r="BQ27" t="str">
        <v>5</v>
      </c>
      <c r="BR27" t="str">
        <v>-9999.000000</v>
      </c>
      <c r="BS27" t="str">
        <v>-9999.000000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2.472815</v>
      </c>
      <c r="CD27" t="str">
        <v>2.453694</v>
      </c>
      <c r="CE27" t="str">
        <v>0.606914</v>
      </c>
      <c r="CF27" t="str">
        <v>0.572335</v>
      </c>
      <c r="CG27" t="str">
        <v>0.337273</v>
      </c>
      <c r="CH27" t="str">
        <v>-0.035760</v>
      </c>
      <c r="CI27" t="str">
        <v>0.254533</v>
      </c>
      <c r="CJ27" t="str">
        <v>0.111295</v>
      </c>
      <c r="CK27" t="str">
        <v>81.023453</v>
      </c>
      <c r="CL27" t="str">
        <v>0.000213</v>
      </c>
      <c r="CM27" t="str">
        <v>2.405086</v>
      </c>
      <c r="CN27" t="str">
        <v>0.000013</v>
      </c>
      <c r="CO27" t="str">
        <v>1.000000</v>
      </c>
      <c r="CP27" t="str">
        <v>2.372866</v>
      </c>
      <c r="CQ27" t="str">
        <v>0.000011</v>
      </c>
      <c r="CR27" t="str">
        <v>1.000000</v>
      </c>
      <c r="CS27" t="str">
        <v>0.601157</v>
      </c>
      <c r="CT27" t="str">
        <v>0.601293</v>
      </c>
      <c r="CU27" t="str">
        <v>0.106749</v>
      </c>
      <c r="CV27" t="str">
        <v>0.000000</v>
      </c>
      <c r="CW27" t="str">
        <v>PSF-01031_20251124222441_52f</v>
      </c>
      <c r="CX27" t="str">
        <v>PFA-00872</v>
      </c>
      <c r="CY27" t="str">
        <v>PSA-00872</v>
      </c>
      <c r="CZ27" t="str">
        <v>PSF-01031</v>
      </c>
      <c r="DA27" t="str">
        <v>RHS-0785</v>
      </c>
      <c r="DB27" t="str">
        <v>3.0.0</v>
      </c>
      <c r="DC27" t="str">
        <v>2025-07-31T17:03:34.552Z</v>
      </c>
    </row>
    <row r="28">
      <c r="A28" t="str">
        <v>25</v>
      </c>
      <c r="B28" t="str">
        <v>22:25:01</v>
      </c>
      <c r="C28" t="str">
        <v>2025-11-24</v>
      </c>
      <c r="D28" t="str">
        <v>FB_Fl_Dark_8k</v>
      </c>
      <c r="E28" t="str">
        <v>Fern</v>
      </c>
      <c r="F28" t="str">
        <v/>
      </c>
      <c r="G28" t="str">
        <v/>
      </c>
      <c r="H28" t="str">
        <v/>
      </c>
      <c r="I28" t="str">
        <v/>
      </c>
      <c r="J28" t="str">
        <f>1/((1/L28)-(1/K28))</f>
        <v>0.000422</v>
      </c>
      <c r="K28" t="str">
        <f>BH28+(BI28*AN28)+(BJ28*AN28*POWER(V28,2))+(BK28*AN28*V28)+(BL28*POWER(AN28,2))</f>
        <v>0.034124</v>
      </c>
      <c r="L28" t="str">
        <f>((M28/1000)*(1000-((T28+S28)/2)))/(T28-S28)</f>
        <v>0.000416</v>
      </c>
      <c r="M28" t="str">
        <f>(AN28*(S28-R28))/(100*U28*(1000-S28))*1000</f>
        <v>0.005289</v>
      </c>
      <c r="N28" t="str">
        <v>0.931473</v>
      </c>
      <c r="O28" t="str">
        <v>0.913042</v>
      </c>
      <c r="P28" t="str">
        <f>0.61365*EXP((17.502*AL28)/(240.97+AL28))</f>
        <v>2.096596</v>
      </c>
      <c r="Q28" t="str">
        <f>P28-N28</f>
        <v>1.165123</v>
      </c>
      <c r="R28" t="str">
        <v>9.789580</v>
      </c>
      <c r="S28" t="str">
        <v>9.987196</v>
      </c>
      <c r="T28" t="str">
        <f>(P28/AM28)*1000</f>
        <v>22.479572</v>
      </c>
      <c r="U28" t="str">
        <f>V28*BG28</f>
        <v>0.441786</v>
      </c>
      <c r="V28" t="str">
        <v>7.500000</v>
      </c>
      <c r="W28" t="str">
        <v>PSF-01031_20251124222501_184</v>
      </c>
      <c r="X28" t="str">
        <v>108.516457</v>
      </c>
      <c r="Y28" t="str">
        <v>108.780380</v>
      </c>
      <c r="Z28" t="str">
        <v>0.002426</v>
      </c>
      <c r="AA28" t="str">
        <v>0.000000</v>
      </c>
      <c r="AB28" t="str">
        <v>0.000000</v>
      </c>
      <c r="AC28" t="str">
        <v>0.000000</v>
      </c>
      <c r="AD28" t="str">
        <v>0.5</v>
      </c>
      <c r="AE28" t="str">
        <v>0.80</v>
      </c>
      <c r="AF28" t="str">
        <f>AC28*AD28*AE28*AQ28</f>
        <v>0.004716</v>
      </c>
      <c r="AG28" t="str">
        <v>1.000000</v>
      </c>
      <c r="AH28" t="str">
        <v>40.41</v>
      </c>
      <c r="AI28" t="str">
        <v>39.61</v>
      </c>
      <c r="AJ28" t="str">
        <v>19.71</v>
      </c>
      <c r="AK28" t="str">
        <v>18.19</v>
      </c>
      <c r="AL28" t="str">
        <f>(AK28-AJ28)*(AJ28*0+0)+AK28</f>
        <v>18.19</v>
      </c>
      <c r="AM28" t="str">
        <v>93.27</v>
      </c>
      <c r="AN28" t="str">
        <v>1.2</v>
      </c>
      <c r="AO28" t="str">
        <v>-15.8</v>
      </c>
      <c r="AP28" t="str">
        <v>1447.5</v>
      </c>
      <c r="AQ28" t="str">
        <v>5</v>
      </c>
      <c r="AR28" t="str">
        <v>3.985</v>
      </c>
      <c r="AS28" t="str">
        <v>22:18:27</v>
      </c>
      <c r="AT28" t="str">
        <v>2025-11-24</v>
      </c>
      <c r="AU28" t="str">
        <v>-10.87</v>
      </c>
      <c r="AV28" t="str">
        <v>1</v>
      </c>
      <c r="AW28" t="str">
        <v>0.000</v>
      </c>
      <c r="AX28" t="str">
        <v>0.000</v>
      </c>
      <c r="AY28" t="str">
        <v>0.000</v>
      </c>
      <c r="AZ28" t="str">
        <v>-0.247</v>
      </c>
      <c r="BA28" t="str">
        <v>-0.080</v>
      </c>
      <c r="BB28" t="str">
        <v>-0.080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1</v>
      </c>
      <c r="BO28" t="str">
        <v>rectangular</v>
      </c>
      <c r="BP28" t="str">
        <v>8000</v>
      </c>
      <c r="BQ28" t="str">
        <v>5</v>
      </c>
      <c r="BR28" t="str">
        <v>-9999.000000</v>
      </c>
      <c r="BS28" t="str">
        <v>-9999.000000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2.472837</v>
      </c>
      <c r="CD28" t="str">
        <v>2.455494</v>
      </c>
      <c r="CE28" t="str">
        <v>0.607088</v>
      </c>
      <c r="CF28" t="str">
        <v>0.572849</v>
      </c>
      <c r="CG28" t="str">
        <v>0.337059</v>
      </c>
      <c r="CH28" t="str">
        <v>-0.015662</v>
      </c>
      <c r="CI28" t="str">
        <v>0.256214</v>
      </c>
      <c r="CJ28" t="str">
        <v>0.111231</v>
      </c>
      <c r="CK28" t="str">
        <v>108.516457</v>
      </c>
      <c r="CL28" t="str">
        <v>0.000213</v>
      </c>
      <c r="CM28" t="str">
        <v>2.405086</v>
      </c>
      <c r="CN28" t="str">
        <v>0.000013</v>
      </c>
      <c r="CO28" t="str">
        <v>1.000000</v>
      </c>
      <c r="CP28" t="str">
        <v>2.372866</v>
      </c>
      <c r="CQ28" t="str">
        <v>0.000011</v>
      </c>
      <c r="CR28" t="str">
        <v>1.000000</v>
      </c>
      <c r="CS28" t="str">
        <v>0.601157</v>
      </c>
      <c r="CT28" t="str">
        <v>0.601293</v>
      </c>
      <c r="CU28" t="str">
        <v>0.106749</v>
      </c>
      <c r="CV28" t="str">
        <v>0.000000</v>
      </c>
      <c r="CW28" t="str">
        <v>PSF-01031_20251124222501_184</v>
      </c>
      <c r="CX28" t="str">
        <v>PFA-00872</v>
      </c>
      <c r="CY28" t="str">
        <v>PSA-00872</v>
      </c>
      <c r="CZ28" t="str">
        <v>PSF-01031</v>
      </c>
      <c r="DA28" t="str">
        <v>RHS-0785</v>
      </c>
      <c r="DB28" t="str">
        <v>3.0.0</v>
      </c>
      <c r="DC28" t="str">
        <v>2025-07-31T17:03:34.552Z</v>
      </c>
    </row>
    <row r="29">
      <c r="A29" t="str">
        <v>26</v>
      </c>
      <c r="B29" t="str">
        <v>22:25:34</v>
      </c>
      <c r="C29" t="str">
        <v>2025-11-24</v>
      </c>
      <c r="D29" t="str">
        <v>FB_Fl_Dark_8k</v>
      </c>
      <c r="E29" t="str">
        <v>Fern</v>
      </c>
      <c r="F29" t="str">
        <v/>
      </c>
      <c r="G29" t="str">
        <v/>
      </c>
      <c r="H29" t="str">
        <v/>
      </c>
      <c r="I29" t="str">
        <v/>
      </c>
      <c r="J29" t="str">
        <f>1/((1/L29)-(1/K29))</f>
        <v>-0.000179</v>
      </c>
      <c r="K29" t="str">
        <f>BH29+(BI29*AN29)+(BJ29*AN29*POWER(V29,2))+(BK29*AN29*V29)+(BL29*POWER(AN29,2))</f>
        <v>0.033229</v>
      </c>
      <c r="L29" t="str">
        <f>((M29/1000)*(1000-((T29+S29)/2)))/(T29-S29)</f>
        <v>-0.000180</v>
      </c>
      <c r="M29" t="str">
        <f>(AN29*(S29-R29))/(100*U29*(1000-S29))*1000</f>
        <v>-0.001879</v>
      </c>
      <c r="N29" t="str">
        <v>0.908772</v>
      </c>
      <c r="O29" t="str">
        <v>0.915498</v>
      </c>
      <c r="P29" t="str">
        <f>0.61365*EXP((17.502*AL29)/(240.97+AL29))</f>
        <v>1.870491</v>
      </c>
      <c r="Q29" t="str">
        <f>P29-N29</f>
        <v>0.961719</v>
      </c>
      <c r="R29" t="str">
        <v>9.814805</v>
      </c>
      <c r="S29" t="str">
        <v>9.742695</v>
      </c>
      <c r="T29" t="str">
        <f>(P29/AM29)*1000</f>
        <v>20.053022</v>
      </c>
      <c r="U29" t="str">
        <f>V29*BG29</f>
        <v>0.441786</v>
      </c>
      <c r="V29" t="str">
        <v>7.500000</v>
      </c>
      <c r="W29" t="str">
        <v>PSF-01031_20251124222534_16c</v>
      </c>
      <c r="X29" t="str">
        <v>75.547813</v>
      </c>
      <c r="Y29" t="str">
        <v>387.578491</v>
      </c>
      <c r="Z29" t="str">
        <v>0.805077</v>
      </c>
      <c r="AA29" t="str">
        <v>0.000000</v>
      </c>
      <c r="AB29" t="str">
        <v>0.000000</v>
      </c>
      <c r="AC29" t="str">
        <v>0.000000</v>
      </c>
      <c r="AD29" t="str">
        <v>0.5</v>
      </c>
      <c r="AE29" t="str">
        <v>0.80</v>
      </c>
      <c r="AF29" t="str">
        <f>AC29*AD29*AE29*AQ29</f>
        <v>1.644547</v>
      </c>
      <c r="AG29" t="str">
        <v>1.000000</v>
      </c>
      <c r="AH29" t="str">
        <v>39.34</v>
      </c>
      <c r="AI29" t="str">
        <v>39.63</v>
      </c>
      <c r="AJ29" t="str">
        <v>19.75</v>
      </c>
      <c r="AK29" t="str">
        <v>16.39</v>
      </c>
      <c r="AL29" t="str">
        <f>(AK29-AJ29)*(AJ29*0+0)+AK29</f>
        <v>16.39</v>
      </c>
      <c r="AM29" t="str">
        <v>93.28</v>
      </c>
      <c r="AN29" t="str">
        <v>1.1</v>
      </c>
      <c r="AO29" t="str">
        <v>-16.0</v>
      </c>
      <c r="AP29" t="str">
        <v>1506.4</v>
      </c>
      <c r="AQ29" t="str">
        <v>5</v>
      </c>
      <c r="AR29" t="str">
        <v>3.984</v>
      </c>
      <c r="AS29" t="str">
        <v>22:18:27</v>
      </c>
      <c r="AT29" t="str">
        <v>2025-11-24</v>
      </c>
      <c r="AU29" t="str">
        <v>-10.87</v>
      </c>
      <c r="AV29" t="str">
        <v>1</v>
      </c>
      <c r="AW29" t="str">
        <v>-0.000</v>
      </c>
      <c r="AX29" t="str">
        <v>-0.000</v>
      </c>
      <c r="AY29" t="str">
        <v>-0.000</v>
      </c>
      <c r="AZ29" t="str">
        <v>0.093</v>
      </c>
      <c r="BA29" t="str">
        <v>-0.087</v>
      </c>
      <c r="BB29" t="str">
        <v>0.115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1</v>
      </c>
      <c r="BO29" t="str">
        <v>rectangular</v>
      </c>
      <c r="BP29" t="str">
        <v>8000</v>
      </c>
      <c r="BQ29" t="str">
        <v>5</v>
      </c>
      <c r="BR29" t="str">
        <v>-9999.000000</v>
      </c>
      <c r="BS29" t="str">
        <v>-9999.000000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2.472869</v>
      </c>
      <c r="CD29" t="str">
        <v>2.454020</v>
      </c>
      <c r="CE29" t="str">
        <v>0.606932</v>
      </c>
      <c r="CF29" t="str">
        <v>0.572391</v>
      </c>
      <c r="CG29" t="str">
        <v>0.336612</v>
      </c>
      <c r="CH29" t="str">
        <v>-0.035580</v>
      </c>
      <c r="CI29" t="str">
        <v>0.258998</v>
      </c>
      <c r="CJ29" t="str">
        <v>0.111459</v>
      </c>
      <c r="CK29" t="str">
        <v>75.547813</v>
      </c>
      <c r="CL29" t="str">
        <v>0.000209</v>
      </c>
      <c r="CM29" t="str">
        <v>2.405086</v>
      </c>
      <c r="CN29" t="str">
        <v>0.000013</v>
      </c>
      <c r="CO29" t="str">
        <v>1.000000</v>
      </c>
      <c r="CP29" t="str">
        <v>2.372866</v>
      </c>
      <c r="CQ29" t="str">
        <v>0.000011</v>
      </c>
      <c r="CR29" t="str">
        <v>1.000000</v>
      </c>
      <c r="CS29" t="str">
        <v>0.601157</v>
      </c>
      <c r="CT29" t="str">
        <v>0.601293</v>
      </c>
      <c r="CU29" t="str">
        <v>0.106749</v>
      </c>
      <c r="CV29" t="str">
        <v>0.000000</v>
      </c>
      <c r="CW29" t="str">
        <v>PSF-01031_20251124222534_16c</v>
      </c>
      <c r="CX29" t="str">
        <v>PFA-00872</v>
      </c>
      <c r="CY29" t="str">
        <v>PSA-00872</v>
      </c>
      <c r="CZ29" t="str">
        <v>PSF-01031</v>
      </c>
      <c r="DA29" t="str">
        <v>RHS-0785</v>
      </c>
      <c r="DB29" t="str">
        <v>3.0.0</v>
      </c>
      <c r="DC29" t="str">
        <v>2025-07-31T17:03:34.552Z</v>
      </c>
    </row>
    <row r="30">
      <c r="A30" t="str">
        <v>27</v>
      </c>
      <c r="B30" t="str">
        <v>22:25:59</v>
      </c>
      <c r="C30" t="str">
        <v>2025-11-24</v>
      </c>
      <c r="D30" t="str">
        <v>FB_Fl_Dark_8k</v>
      </c>
      <c r="E30" t="str">
        <v>Fern</v>
      </c>
      <c r="F30" t="str">
        <v/>
      </c>
      <c r="G30" t="str">
        <v/>
      </c>
      <c r="H30" t="str">
        <v/>
      </c>
      <c r="I30" t="str">
        <v/>
      </c>
      <c r="J30" t="str">
        <f>1/((1/L30)-(1/K30))</f>
        <v>0.000235</v>
      </c>
      <c r="K30" t="str">
        <f>BH30+(BI30*AN30)+(BJ30*AN30*POWER(V30,2))+(BK30*AN30*V30)+(BL30*POWER(AN30,2))</f>
        <v>0.034521</v>
      </c>
      <c r="L30" t="str">
        <f>((M30/1000)*(1000-((T30+S30)/2)))/(T30-S30)</f>
        <v>0.000234</v>
      </c>
      <c r="M30" t="str">
        <f>(AN30*(S30-R30))/(100*U30*(1000-S30))*1000</f>
        <v>0.002705</v>
      </c>
      <c r="N30" t="str">
        <v>0.926868</v>
      </c>
      <c r="O30" t="str">
        <v>0.917550</v>
      </c>
      <c r="P30" t="str">
        <f>0.61365*EXP((17.502*AL30)/(240.97+AL30))</f>
        <v>1.988935</v>
      </c>
      <c r="Q30" t="str">
        <f>P30-N30</f>
        <v>1.062067</v>
      </c>
      <c r="R30" t="str">
        <v>9.837068</v>
      </c>
      <c r="S30" t="str">
        <v>9.936966</v>
      </c>
      <c r="T30" t="str">
        <f>(P30/AM30)*1000</f>
        <v>21.323402</v>
      </c>
      <c r="U30" t="str">
        <f>V30*BG30</f>
        <v>0.441786</v>
      </c>
      <c r="V30" t="str">
        <v>7.500000</v>
      </c>
      <c r="W30" t="str">
        <v>PSF-01031_20251124222559_35c</v>
      </c>
      <c r="X30" t="str">
        <v>91.391800</v>
      </c>
      <c r="Y30" t="str">
        <v>91.545227</v>
      </c>
      <c r="Z30" t="str">
        <v>0.001676</v>
      </c>
      <c r="AA30" t="str">
        <v>0.000000</v>
      </c>
      <c r="AB30" t="str">
        <v>0.000000</v>
      </c>
      <c r="AC30" t="str">
        <v>0.000000</v>
      </c>
      <c r="AD30" t="str">
        <v>0.5</v>
      </c>
      <c r="AE30" t="str">
        <v>0.80</v>
      </c>
      <c r="AF30" t="str">
        <f>AC30*AD30*AE30*AQ30</f>
        <v>0.003593</v>
      </c>
      <c r="AG30" t="str">
        <v>1.000000</v>
      </c>
      <c r="AH30" t="str">
        <v>40.07</v>
      </c>
      <c r="AI30" t="str">
        <v>39.66</v>
      </c>
      <c r="AJ30" t="str">
        <v>19.77</v>
      </c>
      <c r="AK30" t="str">
        <v>17.36</v>
      </c>
      <c r="AL30" t="str">
        <f>(AK30-AJ30)*(AJ30*0+0)+AK30</f>
        <v>17.36</v>
      </c>
      <c r="AM30" t="str">
        <v>93.27</v>
      </c>
      <c r="AN30" t="str">
        <v>1.2</v>
      </c>
      <c r="AO30" t="str">
        <v>-15.7</v>
      </c>
      <c r="AP30" t="str">
        <v>1422.6</v>
      </c>
      <c r="AQ30" t="str">
        <v>5</v>
      </c>
      <c r="AR30" t="str">
        <v>3.983</v>
      </c>
      <c r="AS30" t="str">
        <v>22:18:27</v>
      </c>
      <c r="AT30" t="str">
        <v>2025-11-24</v>
      </c>
      <c r="AU30" t="str">
        <v>-10.87</v>
      </c>
      <c r="AV30" t="str">
        <v>1</v>
      </c>
      <c r="AW30" t="str">
        <v>0.000</v>
      </c>
      <c r="AX30" t="str">
        <v>0.000</v>
      </c>
      <c r="AY30" t="str">
        <v>0.000</v>
      </c>
      <c r="AZ30" t="str">
        <v>-0.060</v>
      </c>
      <c r="BA30" t="str">
        <v>0.014</v>
      </c>
      <c r="BB30" t="str">
        <v>0.367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1</v>
      </c>
      <c r="BO30" t="str">
        <v>rectangular</v>
      </c>
      <c r="BP30" t="str">
        <v>8000</v>
      </c>
      <c r="BQ30" t="str">
        <v>5</v>
      </c>
      <c r="BR30" t="str">
        <v>-9999.000000</v>
      </c>
      <c r="BS30" t="str">
        <v>-9999.000000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2.472911</v>
      </c>
      <c r="CD30" t="str">
        <v>2.455014</v>
      </c>
      <c r="CE30" t="str">
        <v>0.607157</v>
      </c>
      <c r="CF30" t="str">
        <v>0.573045</v>
      </c>
      <c r="CG30" t="str">
        <v>0.336295</v>
      </c>
      <c r="CH30" t="str">
        <v>-0.025403</v>
      </c>
      <c r="CI30" t="str">
        <v>0.260960</v>
      </c>
      <c r="CJ30" t="str">
        <v>0.111692</v>
      </c>
      <c r="CK30" t="str">
        <v>91.391800</v>
      </c>
      <c r="CL30" t="str">
        <v>0.000214</v>
      </c>
      <c r="CM30" t="str">
        <v>2.405086</v>
      </c>
      <c r="CN30" t="str">
        <v>0.000013</v>
      </c>
      <c r="CO30" t="str">
        <v>1.000000</v>
      </c>
      <c r="CP30" t="str">
        <v>2.372866</v>
      </c>
      <c r="CQ30" t="str">
        <v>0.000011</v>
      </c>
      <c r="CR30" t="str">
        <v>1.000000</v>
      </c>
      <c r="CS30" t="str">
        <v>0.601157</v>
      </c>
      <c r="CT30" t="str">
        <v>0.601293</v>
      </c>
      <c r="CU30" t="str">
        <v>0.106749</v>
      </c>
      <c r="CV30" t="str">
        <v>0.000000</v>
      </c>
      <c r="CW30" t="str">
        <v>PSF-01031_20251124222559_35c</v>
      </c>
      <c r="CX30" t="str">
        <v>PFA-00872</v>
      </c>
      <c r="CY30" t="str">
        <v>PSA-00872</v>
      </c>
      <c r="CZ30" t="str">
        <v>PSF-01031</v>
      </c>
      <c r="DA30" t="str">
        <v>RHS-0785</v>
      </c>
      <c r="DB30" t="str">
        <v>3.0.0</v>
      </c>
      <c r="DC30" t="str">
        <v>2025-07-31T17:03:34.552Z</v>
      </c>
    </row>
    <row r="31">
      <c r="A31" t="str">
        <v>28</v>
      </c>
      <c r="B31" t="str">
        <v>22:26:18</v>
      </c>
      <c r="C31" t="str">
        <v>2025-11-24</v>
      </c>
      <c r="D31" t="str">
        <v>FB_Fl_Dark_8k</v>
      </c>
      <c r="E31" t="str">
        <v>Fern</v>
      </c>
      <c r="F31" t="str">
        <v/>
      </c>
      <c r="G31" t="str">
        <v/>
      </c>
      <c r="H31" t="str">
        <v/>
      </c>
      <c r="I31" t="str">
        <v/>
      </c>
      <c r="J31" t="str">
        <f>1/((1/L31)-(1/K31))</f>
        <v>0.000576</v>
      </c>
      <c r="K31" t="str">
        <f>BH31+(BI31*AN31)+(BJ31*AN31*POWER(V31,2))+(BK31*AN31*V31)+(BL31*POWER(AN31,2))</f>
        <v>0.034269</v>
      </c>
      <c r="L31" t="str">
        <f>((M31/1000)*(1000-((T31+S31)/2)))/(T31-S31)</f>
        <v>0.000567</v>
      </c>
      <c r="M31" t="str">
        <f>(AN31*(S31-R31))/(100*U31*(1000-S31))*1000</f>
        <v>0.005912</v>
      </c>
      <c r="N31" t="str">
        <v>0.939353</v>
      </c>
      <c r="O31" t="str">
        <v>0.918839</v>
      </c>
      <c r="P31" t="str">
        <f>0.61365*EXP((17.502*AL31)/(240.97+AL31))</f>
        <v>1.897747</v>
      </c>
      <c r="Q31" t="str">
        <f>P31-N31</f>
        <v>0.958394</v>
      </c>
      <c r="R31" t="str">
        <v>9.850865</v>
      </c>
      <c r="S31" t="str">
        <v>10.070792</v>
      </c>
      <c r="T31" t="str">
        <f>(P31/AM31)*1000</f>
        <v>20.345724</v>
      </c>
      <c r="U31" t="str">
        <f>V31*BG31</f>
        <v>0.441786</v>
      </c>
      <c r="V31" t="str">
        <v>7.500000</v>
      </c>
      <c r="W31" t="str">
        <v>PSF-01031_20251124222618_5ba</v>
      </c>
      <c r="X31" t="str">
        <v>83.056572</v>
      </c>
      <c r="Y31" t="str">
        <v>427.735443</v>
      </c>
      <c r="Z31" t="str">
        <v>0.805823</v>
      </c>
      <c r="AA31" t="str">
        <v>0.000000</v>
      </c>
      <c r="AB31" t="str">
        <v>0.000000</v>
      </c>
      <c r="AC31" t="str">
        <v>0.000000</v>
      </c>
      <c r="AD31" t="str">
        <v>0.5</v>
      </c>
      <c r="AE31" t="str">
        <v>0.80</v>
      </c>
      <c r="AF31" t="str">
        <f>AC31*AD31*AE31*AQ31</f>
        <v>1.737940</v>
      </c>
      <c r="AG31" t="str">
        <v>1.000000</v>
      </c>
      <c r="AH31" t="str">
        <v>40.57</v>
      </c>
      <c r="AI31" t="str">
        <v>39.68</v>
      </c>
      <c r="AJ31" t="str">
        <v>19.79</v>
      </c>
      <c r="AK31" t="str">
        <v>16.62</v>
      </c>
      <c r="AL31" t="str">
        <f>(AK31-AJ31)*(AJ31*0+0)+AK31</f>
        <v>16.62</v>
      </c>
      <c r="AM31" t="str">
        <v>93.28</v>
      </c>
      <c r="AN31" t="str">
        <v>1.2</v>
      </c>
      <c r="AO31" t="str">
        <v>-16.2</v>
      </c>
      <c r="AP31" t="str">
        <v>1475.9</v>
      </c>
      <c r="AQ31" t="str">
        <v>5</v>
      </c>
      <c r="AR31" t="str">
        <v>3.979</v>
      </c>
      <c r="AS31" t="str">
        <v>22:18:27</v>
      </c>
      <c r="AT31" t="str">
        <v>2025-11-24</v>
      </c>
      <c r="AU31" t="str">
        <v>-10.87</v>
      </c>
      <c r="AV31" t="str">
        <v>1</v>
      </c>
      <c r="AW31" t="str">
        <v>0.000</v>
      </c>
      <c r="AX31" t="str">
        <v>0.000</v>
      </c>
      <c r="AY31" t="str">
        <v>0.001</v>
      </c>
      <c r="AZ31" t="str">
        <v>0.197</v>
      </c>
      <c r="BA31" t="str">
        <v>0.100</v>
      </c>
      <c r="BB31" t="str">
        <v>0.267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1</v>
      </c>
      <c r="BO31" t="str">
        <v>rectangular</v>
      </c>
      <c r="BP31" t="str">
        <v>8000</v>
      </c>
      <c r="BQ31" t="str">
        <v>5</v>
      </c>
      <c r="BR31" t="str">
        <v>-9999.000000</v>
      </c>
      <c r="BS31" t="str">
        <v>-9999.000000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2.472931</v>
      </c>
      <c r="CD31" t="str">
        <v>2.455696</v>
      </c>
      <c r="CE31" t="str">
        <v>0.607113</v>
      </c>
      <c r="CF31" t="str">
        <v>0.572133</v>
      </c>
      <c r="CG31" t="str">
        <v>0.336073</v>
      </c>
      <c r="CH31" t="str">
        <v>-0.033581</v>
      </c>
      <c r="CI31" t="str">
        <v>0.262518</v>
      </c>
      <c r="CJ31" t="str">
        <v>0.111722</v>
      </c>
      <c r="CK31" t="str">
        <v>82.863091</v>
      </c>
      <c r="CL31" t="str">
        <v>0.000212</v>
      </c>
      <c r="CM31" t="str">
        <v>2.405086</v>
      </c>
      <c r="CN31" t="str">
        <v>0.000013</v>
      </c>
      <c r="CO31" t="str">
        <v>1.000000</v>
      </c>
      <c r="CP31" t="str">
        <v>2.372866</v>
      </c>
      <c r="CQ31" t="str">
        <v>0.000011</v>
      </c>
      <c r="CR31" t="str">
        <v>1.000000</v>
      </c>
      <c r="CS31" t="str">
        <v>0.601157</v>
      </c>
      <c r="CT31" t="str">
        <v>0.601293</v>
      </c>
      <c r="CU31" t="str">
        <v>0.106749</v>
      </c>
      <c r="CV31" t="str">
        <v>0.000000</v>
      </c>
      <c r="CW31" t="str">
        <v>PSF-01031_20251124222618_5ba</v>
      </c>
      <c r="CX31" t="str">
        <v>PFA-00872</v>
      </c>
      <c r="CY31" t="str">
        <v>PSA-00872</v>
      </c>
      <c r="CZ31" t="str">
        <v>PSF-01031</v>
      </c>
      <c r="DA31" t="str">
        <v>RHS-0785</v>
      </c>
      <c r="DB31" t="str">
        <v>3.0.0</v>
      </c>
      <c r="DC31" t="str">
        <v>2025-07-31T17:03:34.552Z</v>
      </c>
    </row>
    <row r="32">
      <c r="A32" t="str">
        <v>29</v>
      </c>
      <c r="B32" t="str">
        <v>22:28:14</v>
      </c>
      <c r="C32" t="str">
        <v>2025-11-24</v>
      </c>
      <c r="D32" t="str">
        <v>FB_Fl_Dark_8k</v>
      </c>
      <c r="E32" t="str">
        <v>Fern</v>
      </c>
      <c r="F32" t="str">
        <v/>
      </c>
      <c r="G32" t="str">
        <v/>
      </c>
      <c r="H32" t="str">
        <v/>
      </c>
      <c r="I32" t="str">
        <v/>
      </c>
      <c r="J32" t="str">
        <f>1/((1/L32)-(1/K32))</f>
        <v>-0.000505</v>
      </c>
      <c r="K32" t="str">
        <f>BH32+(BI32*AN32)+(BJ32*AN32*POWER(V32,2))+(BK32*AN32*V32)+(BL32*POWER(AN32,2))</f>
        <v>0.033479</v>
      </c>
      <c r="L32" t="str">
        <f>((M32/1000)*(1000-((T32+S32)/2)))/(T32-S32)</f>
        <v>-0.000513</v>
      </c>
      <c r="M32" t="str">
        <f>(AN32*(S32-R32))/(100*U32*(1000-S32))*1000</f>
        <v>-0.004991</v>
      </c>
      <c r="N32" t="str">
        <v>0.907816</v>
      </c>
      <c r="O32" t="str">
        <v>0.925552</v>
      </c>
      <c r="P32" t="str">
        <f>0.61365*EXP((17.502*AL32)/(240.97+AL32))</f>
        <v>1.803023</v>
      </c>
      <c r="Q32" t="str">
        <f>P32-N32</f>
        <v>0.895207</v>
      </c>
      <c r="R32" t="str">
        <v>9.922594</v>
      </c>
      <c r="S32" t="str">
        <v>9.732448</v>
      </c>
      <c r="T32" t="str">
        <f>(P32/AM32)*1000</f>
        <v>19.329716</v>
      </c>
      <c r="U32" t="str">
        <f>V32*BG32</f>
        <v>0.441786</v>
      </c>
      <c r="V32" t="str">
        <v>7.500000</v>
      </c>
      <c r="W32" t="str">
        <v>PSF-01031_20251124222814_078</v>
      </c>
      <c r="X32" t="str">
        <v>85.829613</v>
      </c>
      <c r="Y32" t="str">
        <v>397.376068</v>
      </c>
      <c r="Z32" t="str">
        <v>0.784009</v>
      </c>
      <c r="AA32" t="str">
        <v>0.000000</v>
      </c>
      <c r="AB32" t="str">
        <v>0.000000</v>
      </c>
      <c r="AC32" t="str">
        <v>0.000000</v>
      </c>
      <c r="AD32" t="str">
        <v>0.5</v>
      </c>
      <c r="AE32" t="str">
        <v>0.80</v>
      </c>
      <c r="AF32" t="str">
        <f>AC32*AD32*AE32*AQ32</f>
        <v>0.443291</v>
      </c>
      <c r="AG32" t="str">
        <v>1.000000</v>
      </c>
      <c r="AH32" t="str">
        <v>38.98</v>
      </c>
      <c r="AI32" t="str">
        <v>39.74</v>
      </c>
      <c r="AJ32" t="str">
        <v>19.88</v>
      </c>
      <c r="AK32" t="str">
        <v>15.81</v>
      </c>
      <c r="AL32" t="str">
        <f>(AK32-AJ32)*(AJ32*0+0)+AK32</f>
        <v>15.81</v>
      </c>
      <c r="AM32" t="str">
        <v>93.28</v>
      </c>
      <c r="AN32" t="str">
        <v>1.1</v>
      </c>
      <c r="AO32" t="str">
        <v>-16.0</v>
      </c>
      <c r="AP32" t="str">
        <v>1497.5</v>
      </c>
      <c r="AQ32" t="str">
        <v>1</v>
      </c>
      <c r="AR32" t="str">
        <v>3.978</v>
      </c>
      <c r="AS32" t="str">
        <v>22:18:27</v>
      </c>
      <c r="AT32" t="str">
        <v>2025-11-24</v>
      </c>
      <c r="AU32" t="str">
        <v>-10.87</v>
      </c>
      <c r="AV32" t="str">
        <v>1</v>
      </c>
      <c r="AW32" t="str">
        <v>-0.000</v>
      </c>
      <c r="AX32" t="str">
        <v>-0.000</v>
      </c>
      <c r="AY32" t="str">
        <v>0.000</v>
      </c>
      <c r="AZ32" t="str">
        <v>-0.212</v>
      </c>
      <c r="BA32" t="str">
        <v>-0.138</v>
      </c>
      <c r="BB32" t="str">
        <v>-0.052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1</v>
      </c>
      <c r="BO32" t="str">
        <v>rectangular</v>
      </c>
      <c r="BP32" t="str">
        <v>8000</v>
      </c>
      <c r="BQ32" t="str">
        <v>5</v>
      </c>
      <c r="BR32" t="str">
        <v>-9999.000000</v>
      </c>
      <c r="BS32" t="str">
        <v>-9999.000000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2.473007</v>
      </c>
      <c r="CD32" t="str">
        <v>2.453492</v>
      </c>
      <c r="CE32" t="str">
        <v>0.606975</v>
      </c>
      <c r="CF32" t="str">
        <v>0.572358</v>
      </c>
      <c r="CG32" t="str">
        <v>0.334827</v>
      </c>
      <c r="CH32" t="str">
        <v>-0.043207</v>
      </c>
      <c r="CI32" t="str">
        <v>0.272216</v>
      </c>
      <c r="CJ32" t="str">
        <v>0.108053</v>
      </c>
      <c r="CK32" t="str">
        <v>85.829613</v>
      </c>
      <c r="CL32" t="str">
        <v>0.000211</v>
      </c>
      <c r="CM32" t="str">
        <v>2.405086</v>
      </c>
      <c r="CN32" t="str">
        <v>0.000013</v>
      </c>
      <c r="CO32" t="str">
        <v>1.000000</v>
      </c>
      <c r="CP32" t="str">
        <v>2.372866</v>
      </c>
      <c r="CQ32" t="str">
        <v>0.000011</v>
      </c>
      <c r="CR32" t="str">
        <v>1.000000</v>
      </c>
      <c r="CS32" t="str">
        <v>0.601157</v>
      </c>
      <c r="CT32" t="str">
        <v>0.601293</v>
      </c>
      <c r="CU32" t="str">
        <v>0.106749</v>
      </c>
      <c r="CV32" t="str">
        <v>0.000000</v>
      </c>
      <c r="CW32" t="str">
        <v>PSF-01031_20251124222814_078</v>
      </c>
      <c r="CX32" t="str">
        <v>PFA-00872</v>
      </c>
      <c r="CY32" t="str">
        <v>PSA-00872</v>
      </c>
      <c r="CZ32" t="str">
        <v>PSF-01031</v>
      </c>
      <c r="DA32" t="str">
        <v>RHS-0785</v>
      </c>
      <c r="DB32" t="str">
        <v>3.0.0</v>
      </c>
      <c r="DC32" t="str">
        <v>2025-07-31T17:03:34.552Z</v>
      </c>
    </row>
    <row r="33">
      <c r="A33" t="str">
        <v>30</v>
      </c>
      <c r="B33" t="str">
        <v>22:28:51</v>
      </c>
      <c r="C33" t="str">
        <v>2025-11-24</v>
      </c>
      <c r="D33" t="str">
        <v>FB_Fl_Dark_8k</v>
      </c>
      <c r="E33" t="str">
        <v>Fern</v>
      </c>
      <c r="F33" t="str">
        <v/>
      </c>
      <c r="G33" t="str">
        <v/>
      </c>
      <c r="H33" t="str">
        <v/>
      </c>
      <c r="I33" t="str">
        <v/>
      </c>
      <c r="J33" t="str">
        <f>1/((1/L33)-(1/K33))</f>
        <v>0.004320</v>
      </c>
      <c r="K33" t="str">
        <f>BH33+(BI33*AN33)+(BJ33*AN33*POWER(V33,2))+(BK33*AN33*V33)+(BL33*POWER(AN33,2))</f>
        <v>0.035389</v>
      </c>
      <c r="L33" t="str">
        <f>((M33/1000)*(1000-((T33+S33)/2)))/(T33-S33)</f>
        <v>0.003850</v>
      </c>
      <c r="M33" t="str">
        <f>(AN33*(S33-R33))/(100*U33*(1000-S33))*1000</f>
        <v>0.053195</v>
      </c>
      <c r="N33" t="str">
        <v>1.106300</v>
      </c>
      <c r="O33" t="str">
        <v>0.927895</v>
      </c>
      <c r="P33" t="str">
        <f>0.61365*EXP((17.502*AL33)/(240.97+AL33))</f>
        <v>2.371103</v>
      </c>
      <c r="Q33" t="str">
        <f>P33-N33</f>
        <v>1.264803</v>
      </c>
      <c r="R33" t="str">
        <v>9.948079</v>
      </c>
      <c r="S33" t="str">
        <v>11.860783</v>
      </c>
      <c r="T33" t="str">
        <f>(P33/AM33)*1000</f>
        <v>25.420904</v>
      </c>
      <c r="U33" t="str">
        <f>V33*BG33</f>
        <v>0.441786</v>
      </c>
      <c r="V33" t="str">
        <v>7.500000</v>
      </c>
      <c r="W33" t="str">
        <v>PSF-01031_20251124222851_1db</v>
      </c>
      <c r="X33" t="str">
        <v>39.972069</v>
      </c>
      <c r="Y33" t="str">
        <v>162.409180</v>
      </c>
      <c r="Z33" t="str">
        <v>0.753881</v>
      </c>
      <c r="AA33" t="str">
        <v>0.000000</v>
      </c>
      <c r="AB33" t="str">
        <v>0.000000</v>
      </c>
      <c r="AC33" t="str">
        <v>0.000000</v>
      </c>
      <c r="AD33" t="str">
        <v>0.5</v>
      </c>
      <c r="AE33" t="str">
        <v>0.80</v>
      </c>
      <c r="AF33" t="str">
        <f>AC33*AD33*AE33*AQ33</f>
        <v>0.791451</v>
      </c>
      <c r="AG33" t="str">
        <v>1.000000</v>
      </c>
      <c r="AH33" t="str">
        <v>47.40</v>
      </c>
      <c r="AI33" t="str">
        <v>39.76</v>
      </c>
      <c r="AJ33" t="str">
        <v>19.91</v>
      </c>
      <c r="AK33" t="str">
        <v>20.17</v>
      </c>
      <c r="AL33" t="str">
        <f>(AK33-AJ33)*(AJ33*0+0)+AK33</f>
        <v>20.17</v>
      </c>
      <c r="AM33" t="str">
        <v>93.27</v>
      </c>
      <c r="AN33" t="str">
        <v>1.2</v>
      </c>
      <c r="AO33" t="str">
        <v>-16.2</v>
      </c>
      <c r="AP33" t="str">
        <v>1434.8</v>
      </c>
      <c r="AQ33" t="str">
        <v>3</v>
      </c>
      <c r="AR33" t="str">
        <v>3.975</v>
      </c>
      <c r="AS33" t="str">
        <v>22:28:38</v>
      </c>
      <c r="AT33" t="str">
        <v>2025-11-24</v>
      </c>
      <c r="AU33" t="str">
        <v>-9.06</v>
      </c>
      <c r="AV33" t="str">
        <v>1</v>
      </c>
      <c r="AW33" t="str">
        <v>0.000</v>
      </c>
      <c r="AX33" t="str">
        <v>0.001</v>
      </c>
      <c r="AY33" t="str">
        <v>0.002</v>
      </c>
      <c r="AZ33" t="str">
        <v>-0.003</v>
      </c>
      <c r="BA33" t="str">
        <v>-0.092</v>
      </c>
      <c r="BB33" t="str">
        <v>-0.343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1</v>
      </c>
      <c r="BO33" t="str">
        <v>rectangular</v>
      </c>
      <c r="BP33" t="str">
        <v>8000</v>
      </c>
      <c r="BQ33" t="str">
        <v>5</v>
      </c>
      <c r="BR33" t="str">
        <v>-9999.000000</v>
      </c>
      <c r="BS33" t="str">
        <v>-9999.000000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2.473030</v>
      </c>
      <c r="CD33" t="str">
        <v>2.462540</v>
      </c>
      <c r="CE33" t="str">
        <v>0.607309</v>
      </c>
      <c r="CF33" t="str">
        <v>0.572077</v>
      </c>
      <c r="CG33" t="str">
        <v>0.334382</v>
      </c>
      <c r="CH33" t="str">
        <v>0.003947</v>
      </c>
      <c r="CI33" t="str">
        <v>0.275367</v>
      </c>
      <c r="CJ33" t="str">
        <v>0.109169</v>
      </c>
      <c r="CK33" t="str">
        <v>39.972069</v>
      </c>
      <c r="CL33" t="str">
        <v>0.000211</v>
      </c>
      <c r="CM33" t="str">
        <v>2.405086</v>
      </c>
      <c r="CN33" t="str">
        <v>0.000013</v>
      </c>
      <c r="CO33" t="str">
        <v>1.000000</v>
      </c>
      <c r="CP33" t="str">
        <v>2.372866</v>
      </c>
      <c r="CQ33" t="str">
        <v>0.000011</v>
      </c>
      <c r="CR33" t="str">
        <v>1.000000</v>
      </c>
      <c r="CS33" t="str">
        <v>0.601157</v>
      </c>
      <c r="CT33" t="str">
        <v>0.601293</v>
      </c>
      <c r="CU33" t="str">
        <v>0.106749</v>
      </c>
      <c r="CV33" t="str">
        <v>0.000000</v>
      </c>
      <c r="CW33" t="str">
        <v>PSF-01031_20251124222851_1db</v>
      </c>
      <c r="CX33" t="str">
        <v>PFA-00872</v>
      </c>
      <c r="CY33" t="str">
        <v>PSA-00872</v>
      </c>
      <c r="CZ33" t="str">
        <v>PSF-01031</v>
      </c>
      <c r="DA33" t="str">
        <v>RHS-0785</v>
      </c>
      <c r="DB33" t="str">
        <v>3.0.0</v>
      </c>
      <c r="DC33" t="str">
        <v>2025-07-31T17:03:34.552Z</v>
      </c>
    </row>
    <row r="34">
      <c r="A34" t="str">
        <v>31</v>
      </c>
      <c r="B34" t="str">
        <v>22:29:41</v>
      </c>
      <c r="C34" t="str">
        <v>2025-11-24</v>
      </c>
      <c r="D34" t="str">
        <v>FB_Fl_Dark_8k</v>
      </c>
      <c r="E34" t="str">
        <v>Fern</v>
      </c>
      <c r="F34" t="str">
        <v/>
      </c>
      <c r="G34" t="str">
        <v/>
      </c>
      <c r="H34" t="str">
        <v/>
      </c>
      <c r="I34" t="str">
        <v/>
      </c>
      <c r="J34" t="str">
        <f>1/((1/L34)-(1/K34))</f>
        <v>0.001637</v>
      </c>
      <c r="K34" t="str">
        <f>BH34+(BI34*AN34)+(BJ34*AN34*POWER(V34,2))+(BK34*AN34*V34)+(BL34*POWER(AN34,2))</f>
        <v>0.033454</v>
      </c>
      <c r="L34" t="str">
        <f>((M34/1000)*(1000-((T34+S34)/2)))/(T34-S34)</f>
        <v>0.001560</v>
      </c>
      <c r="M34" t="str">
        <f>(AN34*(S34-R34))/(100*U34*(1000-S34))*1000</f>
        <v>0.013285</v>
      </c>
      <c r="N34" t="str">
        <v>0.975997</v>
      </c>
      <c r="O34" t="str">
        <v>0.928791</v>
      </c>
      <c r="P34" t="str">
        <f>0.61365*EXP((17.502*AL34)/(240.97+AL34))</f>
        <v>1.758536</v>
      </c>
      <c r="Q34" t="str">
        <f>P34-N34</f>
        <v>0.782539</v>
      </c>
      <c r="R34" t="str">
        <v>9.957666</v>
      </c>
      <c r="S34" t="str">
        <v>10.463758</v>
      </c>
      <c r="T34" t="str">
        <f>(P34/AM34)*1000</f>
        <v>18.853437</v>
      </c>
      <c r="U34" t="str">
        <f>V34*BG34</f>
        <v>0.441786</v>
      </c>
      <c r="V34" t="str">
        <v>7.500000</v>
      </c>
      <c r="W34" t="str">
        <v>PSF-01031_20251124222941_23f</v>
      </c>
      <c r="X34" t="str">
        <v>96.882820</v>
      </c>
      <c r="Y34" t="str">
        <v>487.918152</v>
      </c>
      <c r="Z34" t="str">
        <v>0.801436</v>
      </c>
      <c r="AA34" t="str">
        <v>0.000000</v>
      </c>
      <c r="AB34" t="str">
        <v>0.000000</v>
      </c>
      <c r="AC34" t="str">
        <v>0.000000</v>
      </c>
      <c r="AD34" t="str">
        <v>0.5</v>
      </c>
      <c r="AE34" t="str">
        <v>0.80</v>
      </c>
      <c r="AF34" t="str">
        <f>AC34*AD34*AE34*AQ34</f>
        <v>1.180256</v>
      </c>
      <c r="AG34" t="str">
        <v>1.000000</v>
      </c>
      <c r="AH34" t="str">
        <v>41.74</v>
      </c>
      <c r="AI34" t="str">
        <v>39.72</v>
      </c>
      <c r="AJ34" t="str">
        <v>19.94</v>
      </c>
      <c r="AK34" t="str">
        <v>15.42</v>
      </c>
      <c r="AL34" t="str">
        <f>(AK34-AJ34)*(AJ34*0+0)+AK34</f>
        <v>15.42</v>
      </c>
      <c r="AM34" t="str">
        <v>93.27</v>
      </c>
      <c r="AN34" t="str">
        <v>1.1</v>
      </c>
      <c r="AO34" t="str">
        <v>-15.9</v>
      </c>
      <c r="AP34" t="str">
        <v>1482.9</v>
      </c>
      <c r="AQ34" t="str">
        <v>4</v>
      </c>
      <c r="AR34" t="str">
        <v>3.974</v>
      </c>
      <c r="AS34" t="str">
        <v>22:28:38</v>
      </c>
      <c r="AT34" t="str">
        <v>2025-11-24</v>
      </c>
      <c r="AU34" t="str">
        <v>-9.06</v>
      </c>
      <c r="AV34" t="str">
        <v>1</v>
      </c>
      <c r="AW34" t="str">
        <v>0.000</v>
      </c>
      <c r="AX34" t="str">
        <v>0.000</v>
      </c>
      <c r="AY34" t="str">
        <v>0.001</v>
      </c>
      <c r="AZ34" t="str">
        <v>0.100</v>
      </c>
      <c r="BA34" t="str">
        <v>0.098</v>
      </c>
      <c r="BB34" t="str">
        <v>0.064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1</v>
      </c>
      <c r="BO34" t="str">
        <v>rectangular</v>
      </c>
      <c r="BP34" t="str">
        <v>8000</v>
      </c>
      <c r="BQ34" t="str">
        <v>5</v>
      </c>
      <c r="BR34" t="str">
        <v>-9999.000000</v>
      </c>
      <c r="BS34" t="str">
        <v>-9999.000000</v>
      </c>
      <c r="BT34" t="str">
        <v>55537</v>
      </c>
      <c r="BU34" t="str">
        <v>55537</v>
      </c>
      <c r="BV34" t="str">
        <v>55537</v>
      </c>
      <c r="BW34" t="str">
        <v>0.000000</v>
      </c>
      <c r="BX34" t="str">
        <v>-9999</v>
      </c>
      <c r="BY34" t="str">
        <v>0.000000</v>
      </c>
      <c r="BZ34" t="str">
        <v>0.000000</v>
      </c>
      <c r="CA34" t="str">
        <v>0.000000</v>
      </c>
      <c r="CB34" t="str">
        <v>0.000000</v>
      </c>
      <c r="CC34" t="str">
        <v>2.472967</v>
      </c>
      <c r="CD34" t="str">
        <v>2.454797</v>
      </c>
      <c r="CE34" t="str">
        <v>0.606971</v>
      </c>
      <c r="CF34" t="str">
        <v>0.572678</v>
      </c>
      <c r="CG34" t="str">
        <v>0.333960</v>
      </c>
      <c r="CH34" t="str">
        <v>-0.048074</v>
      </c>
      <c r="CI34" t="str">
        <v>0.279654</v>
      </c>
      <c r="CJ34" t="str">
        <v>0.110144</v>
      </c>
      <c r="CK34" t="str">
        <v>96.882820</v>
      </c>
      <c r="CL34" t="str">
        <v>0.000211</v>
      </c>
      <c r="CM34" t="str">
        <v>2.405086</v>
      </c>
      <c r="CN34" t="str">
        <v>0.000013</v>
      </c>
      <c r="CO34" t="str">
        <v>1.000000</v>
      </c>
      <c r="CP34" t="str">
        <v>2.372866</v>
      </c>
      <c r="CQ34" t="str">
        <v>0.000011</v>
      </c>
      <c r="CR34" t="str">
        <v>1.000000</v>
      </c>
      <c r="CS34" t="str">
        <v>0.601157</v>
      </c>
      <c r="CT34" t="str">
        <v>0.601293</v>
      </c>
      <c r="CU34" t="str">
        <v>0.106749</v>
      </c>
      <c r="CV34" t="str">
        <v>0.000000</v>
      </c>
      <c r="CW34" t="str">
        <v>PSF-01031_20251124222941_23f</v>
      </c>
      <c r="CX34" t="str">
        <v>PFA-00872</v>
      </c>
      <c r="CY34" t="str">
        <v>PSA-00872</v>
      </c>
      <c r="CZ34" t="str">
        <v>PSF-01031</v>
      </c>
      <c r="DA34" t="str">
        <v>RHS-0785</v>
      </c>
      <c r="DB34" t="str">
        <v>3.0.0</v>
      </c>
      <c r="DC34" t="str">
        <v>2025-07-31T17:03:34.552Z</v>
      </c>
    </row>
    <row r="35">
      <c r="A35" t="str">
        <v>32</v>
      </c>
      <c r="B35" t="str">
        <v>22:30:06</v>
      </c>
      <c r="C35" t="str">
        <v>2025-11-24</v>
      </c>
      <c r="D35" t="str">
        <v>FB_Fl_Dark_8k</v>
      </c>
      <c r="E35" t="str">
        <v>Fern</v>
      </c>
      <c r="F35" t="str">
        <v/>
      </c>
      <c r="G35" t="str">
        <v/>
      </c>
      <c r="H35" t="str">
        <v/>
      </c>
      <c r="I35" t="str">
        <v/>
      </c>
      <c r="J35" t="str">
        <f>1/((1/L35)-(1/K35))</f>
        <v>0.000795</v>
      </c>
      <c r="K35" t="str">
        <f>BH35+(BI35*AN35)+(BJ35*AN35*POWER(V35,2))+(BK35*AN35*V35)+(BL35*POWER(AN35,2))</f>
        <v>0.034126</v>
      </c>
      <c r="L35" t="str">
        <f>((M35/1000)*(1000-((T35+S35)/2)))/(T35-S35)</f>
        <v>0.000777</v>
      </c>
      <c r="M35" t="str">
        <f>(AN35*(S35-R35))/(100*U35*(1000-S35))*1000</f>
        <v>0.010093</v>
      </c>
      <c r="N35" t="str">
        <v>0.965071</v>
      </c>
      <c r="O35" t="str">
        <v>0.929912</v>
      </c>
      <c r="P35" t="str">
        <f>0.61365*EXP((17.502*AL35)/(240.97+AL35))</f>
        <v>2.156516</v>
      </c>
      <c r="Q35" t="str">
        <f>P35-N35</f>
        <v>1.191445</v>
      </c>
      <c r="R35" t="str">
        <v>9.969814</v>
      </c>
      <c r="S35" t="str">
        <v>10.346764</v>
      </c>
      <c r="T35" t="str">
        <f>(P35/AM35)*1000</f>
        <v>23.120537</v>
      </c>
      <c r="U35" t="str">
        <f>V35*BG35</f>
        <v>0.441786</v>
      </c>
      <c r="V35" t="str">
        <v>7.500000</v>
      </c>
      <c r="W35" t="str">
        <v>PSF-01031_20251124223006_4f2</v>
      </c>
      <c r="X35" t="str">
        <v>73.201416</v>
      </c>
      <c r="Y35" t="str">
        <v>72.865967</v>
      </c>
      <c r="Z35" t="str">
        <v>-0.004604</v>
      </c>
      <c r="AA35" t="str">
        <v>0.000000</v>
      </c>
      <c r="AB35" t="str">
        <v>0.000000</v>
      </c>
      <c r="AC35" t="str">
        <v>0.000000</v>
      </c>
      <c r="AD35" t="str">
        <v>0.5</v>
      </c>
      <c r="AE35" t="str">
        <v>0.80</v>
      </c>
      <c r="AF35" t="str">
        <f>AC35*AD35*AE35*AQ35</f>
        <v>-0.008731</v>
      </c>
      <c r="AG35" t="str">
        <v>1.000000</v>
      </c>
      <c r="AH35" t="str">
        <v>41.26</v>
      </c>
      <c r="AI35" t="str">
        <v>39.75</v>
      </c>
      <c r="AJ35" t="str">
        <v>19.95</v>
      </c>
      <c r="AK35" t="str">
        <v>18.64</v>
      </c>
      <c r="AL35" t="str">
        <f>(AK35-AJ35)*(AJ35*0+0)+AK35</f>
        <v>18.64</v>
      </c>
      <c r="AM35" t="str">
        <v>93.27</v>
      </c>
      <c r="AN35" t="str">
        <v>1.2</v>
      </c>
      <c r="AO35" t="str">
        <v>-16.1</v>
      </c>
      <c r="AP35" t="str">
        <v>1478.5</v>
      </c>
      <c r="AQ35" t="str">
        <v>5</v>
      </c>
      <c r="AR35" t="str">
        <v>3.973</v>
      </c>
      <c r="AS35" t="str">
        <v>22:28:38</v>
      </c>
      <c r="AT35" t="str">
        <v>2025-11-24</v>
      </c>
      <c r="AU35" t="str">
        <v>-9.06</v>
      </c>
      <c r="AV35" t="str">
        <v>1</v>
      </c>
      <c r="AW35" t="str">
        <v>-0.000</v>
      </c>
      <c r="AX35" t="str">
        <v>-0.000</v>
      </c>
      <c r="AY35" t="str">
        <v>-0.000</v>
      </c>
      <c r="AZ35" t="str">
        <v>0.031</v>
      </c>
      <c r="BA35" t="str">
        <v>-0.187</v>
      </c>
      <c r="BB35" t="str">
        <v>-0.209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1</v>
      </c>
      <c r="BO35" t="str">
        <v>rectangular</v>
      </c>
      <c r="BP35" t="str">
        <v>8000</v>
      </c>
      <c r="BQ35" t="str">
        <v>5</v>
      </c>
      <c r="BR35" t="str">
        <v>-9999.000000</v>
      </c>
      <c r="BS35" t="str">
        <v>-9999.000000</v>
      </c>
      <c r="BT35" t="str">
        <v>55537</v>
      </c>
      <c r="BU35" t="str">
        <v>55537</v>
      </c>
      <c r="BV35" t="str">
        <v>55537</v>
      </c>
      <c r="BW35" t="str">
        <v>0.000000</v>
      </c>
      <c r="BX35" t="str">
        <v>-9999</v>
      </c>
      <c r="BY35" t="str">
        <v>0.000000</v>
      </c>
      <c r="BZ35" t="str">
        <v>0.000000</v>
      </c>
      <c r="CA35" t="str">
        <v>0.000000</v>
      </c>
      <c r="CB35" t="str">
        <v>0.000000</v>
      </c>
      <c r="CC35" t="str">
        <v>2.473015</v>
      </c>
      <c r="CD35" t="str">
        <v>2.454130</v>
      </c>
      <c r="CE35" t="str">
        <v>0.607088</v>
      </c>
      <c r="CF35" t="str">
        <v>0.572200</v>
      </c>
      <c r="CG35" t="str">
        <v>0.333877</v>
      </c>
      <c r="CH35" t="str">
        <v>-0.013367</v>
      </c>
      <c r="CI35" t="str">
        <v>0.281699</v>
      </c>
      <c r="CJ35" t="str">
        <v>0.111121</v>
      </c>
      <c r="CK35" t="str">
        <v>73.201416</v>
      </c>
      <c r="CL35" t="str">
        <v>0.000212</v>
      </c>
      <c r="CM35" t="str">
        <v>2.405086</v>
      </c>
      <c r="CN35" t="str">
        <v>0.000013</v>
      </c>
      <c r="CO35" t="str">
        <v>1.000000</v>
      </c>
      <c r="CP35" t="str">
        <v>2.372866</v>
      </c>
      <c r="CQ35" t="str">
        <v>0.000011</v>
      </c>
      <c r="CR35" t="str">
        <v>1.000000</v>
      </c>
      <c r="CS35" t="str">
        <v>0.601157</v>
      </c>
      <c r="CT35" t="str">
        <v>0.601293</v>
      </c>
      <c r="CU35" t="str">
        <v>0.106749</v>
      </c>
      <c r="CV35" t="str">
        <v>0.000000</v>
      </c>
      <c r="CW35" t="str">
        <v>PSF-01031_20251124223006_4f2</v>
      </c>
      <c r="CX35" t="str">
        <v>PFA-00872</v>
      </c>
      <c r="CY35" t="str">
        <v>PSA-00872</v>
      </c>
      <c r="CZ35" t="str">
        <v>PSF-01031</v>
      </c>
      <c r="DA35" t="str">
        <v>RHS-0785</v>
      </c>
      <c r="DB35" t="str">
        <v>3.0.0</v>
      </c>
      <c r="DC35" t="str">
        <v>2025-07-31T17:03:34.552Z</v>
      </c>
    </row>
    <row r="36">
      <c r="A36" t="str">
        <v>33</v>
      </c>
      <c r="B36" t="str">
        <v>22:30:29</v>
      </c>
      <c r="C36" t="str">
        <v>2025-11-24</v>
      </c>
      <c r="D36" t="str">
        <v>FB_Fl_Dark_8k</v>
      </c>
      <c r="E36" t="str">
        <v>Fern</v>
      </c>
      <c r="F36" t="str">
        <v/>
      </c>
      <c r="G36" t="str">
        <v/>
      </c>
      <c r="H36" t="str">
        <v/>
      </c>
      <c r="I36" t="str">
        <v/>
      </c>
      <c r="J36" t="str">
        <f>1/((1/L36)-(1/K36))</f>
        <v>0.001481</v>
      </c>
      <c r="K36" t="str">
        <f>BH36+(BI36*AN36)+(BJ36*AN36*POWER(V36,2))+(BK36*AN36*V36)+(BL36*POWER(AN36,2))</f>
        <v>0.035233</v>
      </c>
      <c r="L36" t="str">
        <f>((M36/1000)*(1000-((T36+S36)/2)))/(T36-S36)</f>
        <v>0.001421</v>
      </c>
      <c r="M36" t="str">
        <f>(AN36*(S36-R36))/(100*U36*(1000-S36))*1000</f>
        <v>0.014327</v>
      </c>
      <c r="N36" t="str">
        <v>0.979181</v>
      </c>
      <c r="O36" t="str">
        <v>0.930850</v>
      </c>
      <c r="P36" t="str">
        <f>0.61365*EXP((17.502*AL36)/(240.97+AL36))</f>
        <v>1.905093</v>
      </c>
      <c r="Q36" t="str">
        <f>P36-N36</f>
        <v>0.925912</v>
      </c>
      <c r="R36" t="str">
        <v>9.979684</v>
      </c>
      <c r="S36" t="str">
        <v>10.497841</v>
      </c>
      <c r="T36" t="str">
        <f>(P36/AM36)*1000</f>
        <v>20.424582</v>
      </c>
      <c r="U36" t="str">
        <f>V36*BG36</f>
        <v>0.441786</v>
      </c>
      <c r="V36" t="str">
        <v>7.500000</v>
      </c>
      <c r="W36" t="str">
        <v>PSF-01031_20251124223029_306</v>
      </c>
      <c r="X36" t="str">
        <v>90.493439</v>
      </c>
      <c r="Y36" t="str">
        <v>429.308655</v>
      </c>
      <c r="Z36" t="str">
        <v>0.789211</v>
      </c>
      <c r="AA36" t="str">
        <v>0.000000</v>
      </c>
      <c r="AB36" t="str">
        <v>0.000000</v>
      </c>
      <c r="AC36" t="str">
        <v>0.000000</v>
      </c>
      <c r="AD36" t="str">
        <v>0.5</v>
      </c>
      <c r="AE36" t="str">
        <v>0.80</v>
      </c>
      <c r="AF36" t="str">
        <f>AC36*AD36*AE36*AQ36</f>
        <v>1.604180</v>
      </c>
      <c r="AG36" t="str">
        <v>1.000000</v>
      </c>
      <c r="AH36" t="str">
        <v>41.81</v>
      </c>
      <c r="AI36" t="str">
        <v>39.75</v>
      </c>
      <c r="AJ36" t="str">
        <v>19.97</v>
      </c>
      <c r="AK36" t="str">
        <v>16.68</v>
      </c>
      <c r="AL36" t="str">
        <f>(AK36-AJ36)*(AJ36*0+0)+AK36</f>
        <v>16.68</v>
      </c>
      <c r="AM36" t="str">
        <v>93.27</v>
      </c>
      <c r="AN36" t="str">
        <v>1.2</v>
      </c>
      <c r="AO36" t="str">
        <v>-16.2</v>
      </c>
      <c r="AP36" t="str">
        <v>1436.1</v>
      </c>
      <c r="AQ36" t="str">
        <v>5</v>
      </c>
      <c r="AR36" t="str">
        <v>3.971</v>
      </c>
      <c r="AS36" t="str">
        <v>22:28:38</v>
      </c>
      <c r="AT36" t="str">
        <v>2025-11-24</v>
      </c>
      <c r="AU36" t="str">
        <v>-9.06</v>
      </c>
      <c r="AV36" t="str">
        <v>1</v>
      </c>
      <c r="AW36" t="str">
        <v>0.000</v>
      </c>
      <c r="AX36" t="str">
        <v>0.000</v>
      </c>
      <c r="AY36" t="str">
        <v>0.000</v>
      </c>
      <c r="AZ36" t="str">
        <v>0.210</v>
      </c>
      <c r="BA36" t="str">
        <v>0.206</v>
      </c>
      <c r="BB36" t="str">
        <v>0.220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1</v>
      </c>
      <c r="BO36" t="str">
        <v>rectangular</v>
      </c>
      <c r="BP36" t="str">
        <v>8000</v>
      </c>
      <c r="BQ36" t="str">
        <v>5</v>
      </c>
      <c r="BR36" t="str">
        <v>-9999.000000</v>
      </c>
      <c r="BS36" t="str">
        <v>-9999.000000</v>
      </c>
      <c r="BT36" t="str">
        <v>55537</v>
      </c>
      <c r="BU36" t="str">
        <v>55537</v>
      </c>
      <c r="BV36" t="str">
        <v>55537</v>
      </c>
      <c r="BW36" t="str">
        <v>0.000000</v>
      </c>
      <c r="BX36" t="str">
        <v>-9999</v>
      </c>
      <c r="BY36" t="str">
        <v>0.000000</v>
      </c>
      <c r="BZ36" t="str">
        <v>0.000000</v>
      </c>
      <c r="CA36" t="str">
        <v>0.000000</v>
      </c>
      <c r="CB36" t="str">
        <v>0.000000</v>
      </c>
      <c r="CC36" t="str">
        <v>2.473004</v>
      </c>
      <c r="CD36" t="str">
        <v>2.454892</v>
      </c>
      <c r="CE36" t="str">
        <v>0.607282</v>
      </c>
      <c r="CF36" t="str">
        <v>0.572176</v>
      </c>
      <c r="CG36" t="str">
        <v>0.333631</v>
      </c>
      <c r="CH36" t="str">
        <v>-0.034944</v>
      </c>
      <c r="CI36" t="str">
        <v>0.283529</v>
      </c>
      <c r="CJ36" t="str">
        <v>0.111435</v>
      </c>
      <c r="CK36" t="str">
        <v>90.493439</v>
      </c>
      <c r="CL36" t="str">
        <v>0.000212</v>
      </c>
      <c r="CM36" t="str">
        <v>2.405086</v>
      </c>
      <c r="CN36" t="str">
        <v>0.000013</v>
      </c>
      <c r="CO36" t="str">
        <v>1.000000</v>
      </c>
      <c r="CP36" t="str">
        <v>2.372866</v>
      </c>
      <c r="CQ36" t="str">
        <v>0.000011</v>
      </c>
      <c r="CR36" t="str">
        <v>1.000000</v>
      </c>
      <c r="CS36" t="str">
        <v>0.601157</v>
      </c>
      <c r="CT36" t="str">
        <v>0.601293</v>
      </c>
      <c r="CU36" t="str">
        <v>0.106749</v>
      </c>
      <c r="CV36" t="str">
        <v>0.000000</v>
      </c>
      <c r="CW36" t="str">
        <v>PSF-01031_20251124223029_306</v>
      </c>
      <c r="CX36" t="str">
        <v>PFA-00872</v>
      </c>
      <c r="CY36" t="str">
        <v>PSA-00872</v>
      </c>
      <c r="CZ36" t="str">
        <v>PSF-01031</v>
      </c>
      <c r="DA36" t="str">
        <v>RHS-0785</v>
      </c>
      <c r="DB36" t="str">
        <v>3.0.0</v>
      </c>
      <c r="DC36" t="str">
        <v>2025-07-31T17:03:34.552Z</v>
      </c>
    </row>
    <row r="37">
      <c r="A37" t="str">
        <v>34</v>
      </c>
      <c r="B37" t="str">
        <v>22:30:49</v>
      </c>
      <c r="C37" t="str">
        <v>2025-11-24</v>
      </c>
      <c r="D37" t="str">
        <v>FB_Fl_Dark_8k</v>
      </c>
      <c r="E37" t="str">
        <v>Fern</v>
      </c>
      <c r="F37" t="str">
        <v/>
      </c>
      <c r="G37" t="str">
        <v/>
      </c>
      <c r="H37" t="str">
        <v/>
      </c>
      <c r="I37" t="str">
        <v/>
      </c>
      <c r="J37" t="str">
        <f>1/((1/L37)-(1/K37))</f>
        <v>0.000985</v>
      </c>
      <c r="K37" t="str">
        <f>BH37+(BI37*AN37)+(BJ37*AN37*POWER(V37,2))+(BK37*AN37*V37)+(BL37*POWER(AN37,2))</f>
        <v>0.034265</v>
      </c>
      <c r="L37" t="str">
        <f>((M37/1000)*(1000-((T37+S37)/2)))/(T37-S37)</f>
        <v>0.000957</v>
      </c>
      <c r="M37" t="str">
        <f>(AN37*(S37-R37))/(100*U37*(1000-S37))*1000</f>
        <v>0.009467</v>
      </c>
      <c r="N37" t="str">
        <v>0.964156</v>
      </c>
      <c r="O37" t="str">
        <v>0.931310</v>
      </c>
      <c r="P37" t="str">
        <f>0.61365*EXP((17.502*AL37)/(240.97+AL37))</f>
        <v>1.872661</v>
      </c>
      <c r="Q37" t="str">
        <f>P37-N37</f>
        <v>0.908504</v>
      </c>
      <c r="R37" t="str">
        <v>9.984829</v>
      </c>
      <c r="S37" t="str">
        <v>10.336981</v>
      </c>
      <c r="T37" t="str">
        <f>(P37/AM37)*1000</f>
        <v>20.077307</v>
      </c>
      <c r="U37" t="str">
        <f>V37*BG37</f>
        <v>0.441786</v>
      </c>
      <c r="V37" t="str">
        <v>7.500000</v>
      </c>
      <c r="W37" t="str">
        <v>PSF-01031_20251124223049_b14</v>
      </c>
      <c r="X37" t="str">
        <v>88.659523</v>
      </c>
      <c r="Y37" t="str">
        <v>447.477936</v>
      </c>
      <c r="Z37" t="str">
        <v>0.801868</v>
      </c>
      <c r="AA37" t="str">
        <v>0.000000</v>
      </c>
      <c r="AB37" t="str">
        <v>0.000000</v>
      </c>
      <c r="AC37" t="str">
        <v>0.000000</v>
      </c>
      <c r="AD37" t="str">
        <v>0.5</v>
      </c>
      <c r="AE37" t="str">
        <v>0.80</v>
      </c>
      <c r="AF37" t="str">
        <f>AC37*AD37*AE37*AQ37</f>
        <v>1.661749</v>
      </c>
      <c r="AG37" t="str">
        <v>1.000000</v>
      </c>
      <c r="AH37" t="str">
        <v>41.15</v>
      </c>
      <c r="AI37" t="str">
        <v>39.75</v>
      </c>
      <c r="AJ37" t="str">
        <v>19.97</v>
      </c>
      <c r="AK37" t="str">
        <v>16.41</v>
      </c>
      <c r="AL37" t="str">
        <f>(AK37-AJ37)*(AJ37*0+0)+AK37</f>
        <v>16.41</v>
      </c>
      <c r="AM37" t="str">
        <v>93.27</v>
      </c>
      <c r="AN37" t="str">
        <v>1.2</v>
      </c>
      <c r="AO37" t="str">
        <v>-15.9</v>
      </c>
      <c r="AP37" t="str">
        <v>1450.9</v>
      </c>
      <c r="AQ37" t="str">
        <v>5</v>
      </c>
      <c r="AR37" t="str">
        <v>3.970</v>
      </c>
      <c r="AS37" t="str">
        <v>22:28:38</v>
      </c>
      <c r="AT37" t="str">
        <v>2025-11-24</v>
      </c>
      <c r="AU37" t="str">
        <v>-9.06</v>
      </c>
      <c r="AV37" t="str">
        <v>1</v>
      </c>
      <c r="AW37" t="str">
        <v>0.000</v>
      </c>
      <c r="AX37" t="str">
        <v>0.000</v>
      </c>
      <c r="AY37" t="str">
        <v>0.000</v>
      </c>
      <c r="AZ37" t="str">
        <v>0.064</v>
      </c>
      <c r="BA37" t="str">
        <v>0.010</v>
      </c>
      <c r="BB37" t="str">
        <v>-0.057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1</v>
      </c>
      <c r="BO37" t="str">
        <v>rectangular</v>
      </c>
      <c r="BP37" t="str">
        <v>8000</v>
      </c>
      <c r="BQ37" t="str">
        <v>5</v>
      </c>
      <c r="BR37" t="str">
        <v>-9999.000000</v>
      </c>
      <c r="BS37" t="str">
        <v>-9999.000000</v>
      </c>
      <c r="BT37" t="str">
        <v>55537</v>
      </c>
      <c r="BU37" t="str">
        <v>55537</v>
      </c>
      <c r="BV37" t="str">
        <v>55537</v>
      </c>
      <c r="BW37" t="str">
        <v>0.000000</v>
      </c>
      <c r="BX37" t="str">
        <v>-9999</v>
      </c>
      <c r="BY37" t="str">
        <v>0.000000</v>
      </c>
      <c r="BZ37" t="str">
        <v>0.000000</v>
      </c>
      <c r="CA37" t="str">
        <v>0.000000</v>
      </c>
      <c r="CB37" t="str">
        <v>0.000000</v>
      </c>
      <c r="CC37" t="str">
        <v>2.473006</v>
      </c>
      <c r="CD37" t="str">
        <v>2.453982</v>
      </c>
      <c r="CE37" t="str">
        <v>0.607113</v>
      </c>
      <c r="CF37" t="str">
        <v>0.572661</v>
      </c>
      <c r="CG37" t="str">
        <v>0.333536</v>
      </c>
      <c r="CH37" t="str">
        <v>-0.037923</v>
      </c>
      <c r="CI37" t="str">
        <v>0.285063</v>
      </c>
      <c r="CJ37" t="str">
        <v>0.111527</v>
      </c>
      <c r="CK37" t="str">
        <v>88.659523</v>
      </c>
      <c r="CL37" t="str">
        <v>0.000214</v>
      </c>
      <c r="CM37" t="str">
        <v>2.405086</v>
      </c>
      <c r="CN37" t="str">
        <v>0.000013</v>
      </c>
      <c r="CO37" t="str">
        <v>1.000000</v>
      </c>
      <c r="CP37" t="str">
        <v>2.372866</v>
      </c>
      <c r="CQ37" t="str">
        <v>0.000011</v>
      </c>
      <c r="CR37" t="str">
        <v>1.000000</v>
      </c>
      <c r="CS37" t="str">
        <v>0.601157</v>
      </c>
      <c r="CT37" t="str">
        <v>0.601293</v>
      </c>
      <c r="CU37" t="str">
        <v>0.106749</v>
      </c>
      <c r="CV37" t="str">
        <v>0.000000</v>
      </c>
      <c r="CW37" t="str">
        <v>PSF-01031_20251124223049_b14</v>
      </c>
      <c r="CX37" t="str">
        <v>PFA-00872</v>
      </c>
      <c r="CY37" t="str">
        <v>PSA-00872</v>
      </c>
      <c r="CZ37" t="str">
        <v>PSF-01031</v>
      </c>
      <c r="DA37" t="str">
        <v>RHS-0785</v>
      </c>
      <c r="DB37" t="str">
        <v>3.0.0</v>
      </c>
      <c r="DC37" t="str">
        <v>2025-07-31T17:03:34.552Z</v>
      </c>
    </row>
    <row r="38">
      <c r="A38" t="str">
        <v>35</v>
      </c>
      <c r="B38" t="str">
        <v>22:32:03</v>
      </c>
      <c r="C38" t="str">
        <v>2025-11-24</v>
      </c>
      <c r="D38" t="str">
        <v>FB_Fl_Dark_8k</v>
      </c>
      <c r="E38" t="str">
        <v>Fern</v>
      </c>
      <c r="F38" t="str">
        <v/>
      </c>
      <c r="G38" t="str">
        <v/>
      </c>
      <c r="H38" t="str">
        <v/>
      </c>
      <c r="I38" t="str">
        <v/>
      </c>
      <c r="J38" t="str">
        <f>1/((1/L38)-(1/K38))</f>
        <v>0.000974</v>
      </c>
      <c r="K38" t="str">
        <f>BH38+(BI38*AN38)+(BJ38*AN38*POWER(V38,2))+(BK38*AN38*V38)+(BL38*POWER(AN38,2))</f>
        <v>0.033438</v>
      </c>
      <c r="L38" t="str">
        <f>((M38/1000)*(1000-((T38+S38)/2)))/(T38-S38)</f>
        <v>0.000946</v>
      </c>
      <c r="M38" t="str">
        <f>(AN38*(S38-R38))/(100*U38*(1000-S38))*1000</f>
        <v>0.009831</v>
      </c>
      <c r="N38" t="str">
        <v>0.970777</v>
      </c>
      <c r="O38" t="str">
        <v>0.935826</v>
      </c>
      <c r="P38" t="str">
        <f>0.61365*EXP((17.502*AL38)/(240.97+AL38))</f>
        <v>1.924948</v>
      </c>
      <c r="Q38" t="str">
        <f>P38-N38</f>
        <v>0.954171</v>
      </c>
      <c r="R38" t="str">
        <v>10.033061</v>
      </c>
      <c r="S38" t="str">
        <v>10.407771</v>
      </c>
      <c r="T38" t="str">
        <f>(P38/AM38)*1000</f>
        <v>20.637510</v>
      </c>
      <c r="U38" t="str">
        <f>V38*BG38</f>
        <v>0.441786</v>
      </c>
      <c r="V38" t="str">
        <v>7.500000</v>
      </c>
      <c r="W38" t="str">
        <v>PSF-01031_20251124223203_d34</v>
      </c>
      <c r="X38" t="str">
        <v>83.980682</v>
      </c>
      <c r="Y38" t="str">
        <v>438.505402</v>
      </c>
      <c r="Z38" t="str">
        <v>0.808484</v>
      </c>
      <c r="AA38" t="str">
        <v>0.000000</v>
      </c>
      <c r="AB38" t="str">
        <v>0.000000</v>
      </c>
      <c r="AC38" t="str">
        <v>0.000000</v>
      </c>
      <c r="AD38" t="str">
        <v>0.5</v>
      </c>
      <c r="AE38" t="str">
        <v>0.80</v>
      </c>
      <c r="AF38" t="str">
        <f>AC38*AD38*AE38*AQ38</f>
        <v>1.640721</v>
      </c>
      <c r="AG38" t="str">
        <v>1.000000</v>
      </c>
      <c r="AH38" t="str">
        <v>41.23</v>
      </c>
      <c r="AI38" t="str">
        <v>39.74</v>
      </c>
      <c r="AJ38" t="str">
        <v>20.06</v>
      </c>
      <c r="AK38" t="str">
        <v>16.84</v>
      </c>
      <c r="AL38" t="str">
        <f>(AK38-AJ38)*(AJ38*0+0)+AK38</f>
        <v>16.84</v>
      </c>
      <c r="AM38" t="str">
        <v>93.27</v>
      </c>
      <c r="AN38" t="str">
        <v>1.1</v>
      </c>
      <c r="AO38" t="str">
        <v>-16.2</v>
      </c>
      <c r="AP38" t="str">
        <v>1515.8</v>
      </c>
      <c r="AQ38" t="str">
        <v>5</v>
      </c>
      <c r="AR38" t="str">
        <v>3.969</v>
      </c>
      <c r="AS38" t="str">
        <v>22:28:38</v>
      </c>
      <c r="AT38" t="str">
        <v>2025-11-24</v>
      </c>
      <c r="AU38" t="str">
        <v>-9.06</v>
      </c>
      <c r="AV38" t="str">
        <v>1</v>
      </c>
      <c r="AW38" t="str">
        <v>0.000</v>
      </c>
      <c r="AX38" t="str">
        <v>0.000</v>
      </c>
      <c r="AY38" t="str">
        <v>-0.000</v>
      </c>
      <c r="AZ38" t="str">
        <v>-0.071</v>
      </c>
      <c r="BA38" t="str">
        <v>-0.199</v>
      </c>
      <c r="BB38" t="str">
        <v>-0.287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1</v>
      </c>
      <c r="BO38" t="str">
        <v>rectangular</v>
      </c>
      <c r="BP38" t="str">
        <v>8000</v>
      </c>
      <c r="BQ38" t="str">
        <v>5</v>
      </c>
      <c r="BR38" t="str">
        <v>-9999.000000</v>
      </c>
      <c r="BS38" t="str">
        <v>-9999.000000</v>
      </c>
      <c r="BT38" t="str">
        <v>55537</v>
      </c>
      <c r="BU38" t="str">
        <v>55537</v>
      </c>
      <c r="BV38" t="str">
        <v>55537</v>
      </c>
      <c r="BW38" t="str">
        <v>0.000000</v>
      </c>
      <c r="BX38" t="str">
        <v>-9999</v>
      </c>
      <c r="BY38" t="str">
        <v>0.000000</v>
      </c>
      <c r="BZ38" t="str">
        <v>0.000000</v>
      </c>
      <c r="CA38" t="str">
        <v>0.000000</v>
      </c>
      <c r="CB38" t="str">
        <v>0.000000</v>
      </c>
      <c r="CC38" t="str">
        <v>2.472978</v>
      </c>
      <c r="CD38" t="str">
        <v>2.454064</v>
      </c>
      <c r="CE38" t="str">
        <v>0.606968</v>
      </c>
      <c r="CF38" t="str">
        <v>0.572019</v>
      </c>
      <c r="CG38" t="str">
        <v>0.332436</v>
      </c>
      <c r="CH38" t="str">
        <v>-0.034180</v>
      </c>
      <c r="CI38" t="str">
        <v>0.291008</v>
      </c>
      <c r="CJ38" t="str">
        <v>0.111428</v>
      </c>
      <c r="CK38" t="str">
        <v>83.980682</v>
      </c>
      <c r="CL38" t="str">
        <v>0.000213</v>
      </c>
      <c r="CM38" t="str">
        <v>2.405086</v>
      </c>
      <c r="CN38" t="str">
        <v>0.000013</v>
      </c>
      <c r="CO38" t="str">
        <v>1.000000</v>
      </c>
      <c r="CP38" t="str">
        <v>2.372866</v>
      </c>
      <c r="CQ38" t="str">
        <v>0.000011</v>
      </c>
      <c r="CR38" t="str">
        <v>1.000000</v>
      </c>
      <c r="CS38" t="str">
        <v>0.601157</v>
      </c>
      <c r="CT38" t="str">
        <v>0.601293</v>
      </c>
      <c r="CU38" t="str">
        <v>0.106749</v>
      </c>
      <c r="CV38" t="str">
        <v>0.000000</v>
      </c>
      <c r="CW38" t="str">
        <v>PSF-01031_20251124223203_d34</v>
      </c>
      <c r="CX38" t="str">
        <v>PFA-00872</v>
      </c>
      <c r="CY38" t="str">
        <v>PSA-00872</v>
      </c>
      <c r="CZ38" t="str">
        <v>PSF-01031</v>
      </c>
      <c r="DA38" t="str">
        <v>RHS-0785</v>
      </c>
      <c r="DB38" t="str">
        <v>3.0.0</v>
      </c>
      <c r="DC38" t="str">
        <v>2025-07-31T17:03:34.552Z</v>
      </c>
    </row>
    <row r="39">
      <c r="A39" t="str">
        <v>36</v>
      </c>
      <c r="B39" t="str">
        <v>22:32:27</v>
      </c>
      <c r="C39" t="str">
        <v>2025-11-24</v>
      </c>
      <c r="D39" t="str">
        <v>FB_Fl_Dark_8k</v>
      </c>
      <c r="E39" t="str">
        <v>Fern</v>
      </c>
      <c r="F39" t="str">
        <v/>
      </c>
      <c r="G39" t="str">
        <v/>
      </c>
      <c r="H39" t="str">
        <v/>
      </c>
      <c r="I39" t="str">
        <v/>
      </c>
      <c r="J39" t="str">
        <f>1/((1/L39)-(1/K39))</f>
        <v>0.000486</v>
      </c>
      <c r="K39" t="str">
        <f>BH39+(BI39*AN39)+(BJ39*AN39*POWER(V39,2))+(BK39*AN39*V39)+(BL39*POWER(AN39,2))</f>
        <v>0.035808</v>
      </c>
      <c r="L39" t="str">
        <f>((M39/1000)*(1000-((T39+S39)/2)))/(T39-S39)</f>
        <v>0.000479</v>
      </c>
      <c r="M39" t="str">
        <f>(AN39*(S39-R39))/(100*U39*(1000-S39))*1000</f>
        <v>0.005805</v>
      </c>
      <c r="N39" t="str">
        <v>0.956567</v>
      </c>
      <c r="O39" t="str">
        <v>0.937296</v>
      </c>
      <c r="P39" t="str">
        <f>0.61365*EXP((17.502*AL39)/(240.97+AL39))</f>
        <v>2.067987</v>
      </c>
      <c r="Q39" t="str">
        <f>P39-N39</f>
        <v>1.111420</v>
      </c>
      <c r="R39" t="str">
        <v>10.049275</v>
      </c>
      <c r="S39" t="str">
        <v>10.255896</v>
      </c>
      <c r="T39" t="str">
        <f>(P39/AM39)*1000</f>
        <v>22.172049</v>
      </c>
      <c r="U39" t="str">
        <f>V39*BG39</f>
        <v>0.441786</v>
      </c>
      <c r="V39" t="str">
        <v>7.500000</v>
      </c>
      <c r="W39" t="str">
        <v>PSF-01031_20251124223227_f8e</v>
      </c>
      <c r="X39" t="str">
        <v>101.009491</v>
      </c>
      <c r="Y39" t="str">
        <v>103.152039</v>
      </c>
      <c r="Z39" t="str">
        <v>0.020771</v>
      </c>
      <c r="AA39" t="str">
        <v>0.000000</v>
      </c>
      <c r="AB39" t="str">
        <v>0.000000</v>
      </c>
      <c r="AC39" t="str">
        <v>0.000000</v>
      </c>
      <c r="AD39" t="str">
        <v>0.5</v>
      </c>
      <c r="AE39" t="str">
        <v>0.80</v>
      </c>
      <c r="AF39" t="str">
        <f>AC39*AD39*AE39*AQ39</f>
        <v>0.033685</v>
      </c>
      <c r="AG39" t="str">
        <v>1.000000</v>
      </c>
      <c r="AH39" t="str">
        <v>40.57</v>
      </c>
      <c r="AI39" t="str">
        <v>39.76</v>
      </c>
      <c r="AJ39" t="str">
        <v>20.08</v>
      </c>
      <c r="AK39" t="str">
        <v>17.97</v>
      </c>
      <c r="AL39" t="str">
        <f>(AK39-AJ39)*(AJ39*0+0)+AK39</f>
        <v>17.97</v>
      </c>
      <c r="AM39" t="str">
        <v>93.27</v>
      </c>
      <c r="AN39" t="str">
        <v>1.2</v>
      </c>
      <c r="AO39" t="str">
        <v>-16.0</v>
      </c>
      <c r="AP39" t="str">
        <v>1398.9</v>
      </c>
      <c r="AQ39" t="str">
        <v>4</v>
      </c>
      <c r="AR39" t="str">
        <v>3.968</v>
      </c>
      <c r="AS39" t="str">
        <v>22:28:38</v>
      </c>
      <c r="AT39" t="str">
        <v>2025-11-24</v>
      </c>
      <c r="AU39" t="str">
        <v>-9.06</v>
      </c>
      <c r="AV39" t="str">
        <v>1</v>
      </c>
      <c r="AW39" t="str">
        <v>-0.000</v>
      </c>
      <c r="AX39" t="str">
        <v>-0.000</v>
      </c>
      <c r="AY39" t="str">
        <v>-0.001</v>
      </c>
      <c r="AZ39" t="str">
        <v>0.137</v>
      </c>
      <c r="BA39" t="str">
        <v>-0.068</v>
      </c>
      <c r="BB39" t="str">
        <v>-0.180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1</v>
      </c>
      <c r="BO39" t="str">
        <v>rectangular</v>
      </c>
      <c r="BP39" t="str">
        <v>8000</v>
      </c>
      <c r="BQ39" t="str">
        <v>5</v>
      </c>
      <c r="BR39" t="str">
        <v>-9999.000000</v>
      </c>
      <c r="BS39" t="str">
        <v>-9999.000000</v>
      </c>
      <c r="BT39" t="str">
        <v>55537</v>
      </c>
      <c r="BU39" t="str">
        <v>55537</v>
      </c>
      <c r="BV39" t="str">
        <v>55537</v>
      </c>
      <c r="BW39" t="str">
        <v>0.000000</v>
      </c>
      <c r="BX39" t="str">
        <v>-9999</v>
      </c>
      <c r="BY39" t="str">
        <v>0.000000</v>
      </c>
      <c r="BZ39" t="str">
        <v>0.000000</v>
      </c>
      <c r="CA39" t="str">
        <v>0.000000</v>
      </c>
      <c r="CB39" t="str">
        <v>0.000000</v>
      </c>
      <c r="CC39" t="str">
        <v>2.472996</v>
      </c>
      <c r="CD39" t="str">
        <v>2.453160</v>
      </c>
      <c r="CE39" t="str">
        <v>0.607382</v>
      </c>
      <c r="CF39" t="str">
        <v>0.572521</v>
      </c>
      <c r="CG39" t="str">
        <v>0.332175</v>
      </c>
      <c r="CH39" t="str">
        <v>-0.022101</v>
      </c>
      <c r="CI39" t="str">
        <v>0.293032</v>
      </c>
      <c r="CJ39" t="str">
        <v>0.110488</v>
      </c>
      <c r="CK39" t="str">
        <v>101.009491</v>
      </c>
      <c r="CL39" t="str">
        <v>0.000210</v>
      </c>
      <c r="CM39" t="str">
        <v>2.405086</v>
      </c>
      <c r="CN39" t="str">
        <v>0.000013</v>
      </c>
      <c r="CO39" t="str">
        <v>1.000000</v>
      </c>
      <c r="CP39" t="str">
        <v>2.372866</v>
      </c>
      <c r="CQ39" t="str">
        <v>0.000011</v>
      </c>
      <c r="CR39" t="str">
        <v>1.000000</v>
      </c>
      <c r="CS39" t="str">
        <v>0.601157</v>
      </c>
      <c r="CT39" t="str">
        <v>0.601293</v>
      </c>
      <c r="CU39" t="str">
        <v>0.106749</v>
      </c>
      <c r="CV39" t="str">
        <v>0.000000</v>
      </c>
      <c r="CW39" t="str">
        <v>PSF-01031_20251124223227_f8e</v>
      </c>
      <c r="CX39" t="str">
        <v>PFA-00872</v>
      </c>
      <c r="CY39" t="str">
        <v>PSA-00872</v>
      </c>
      <c r="CZ39" t="str">
        <v>PSF-01031</v>
      </c>
      <c r="DA39" t="str">
        <v>RHS-0785</v>
      </c>
      <c r="DB39" t="str">
        <v>3.0.0</v>
      </c>
      <c r="DC39" t="str">
        <v>2025-07-31T17:03:34.552Z</v>
      </c>
    </row>
    <row r="40">
      <c r="A40" t="str">
        <v>37</v>
      </c>
      <c r="B40" t="str">
        <v>22:32:50</v>
      </c>
      <c r="C40" t="str">
        <v>2025-11-24</v>
      </c>
      <c r="D40" t="str">
        <v>FB_Fl_Dark_8k</v>
      </c>
      <c r="E40" t="str">
        <v>Fern</v>
      </c>
      <c r="F40" t="str">
        <v/>
      </c>
      <c r="G40" t="str">
        <v/>
      </c>
      <c r="H40" t="str">
        <v/>
      </c>
      <c r="I40" t="str">
        <v/>
      </c>
      <c r="J40" t="str">
        <f>1/((1/L40)-(1/K40))</f>
        <v>0.000871</v>
      </c>
      <c r="K40" t="str">
        <f>BH40+(BI40*AN40)+(BJ40*AN40*POWER(V40,2))+(BK40*AN40*V40)+(BL40*POWER(AN40,2))</f>
        <v>0.034316</v>
      </c>
      <c r="L40" t="str">
        <f>((M40/1000)*(1000-((T40+S40)/2)))/(T40-S40)</f>
        <v>0.000850</v>
      </c>
      <c r="M40" t="str">
        <f>(AN40*(S40-R40))/(100*U40*(1000-S40))*1000</f>
        <v>0.008453</v>
      </c>
      <c r="N40" t="str">
        <v>0.967750</v>
      </c>
      <c r="O40" t="str">
        <v>0.938468</v>
      </c>
      <c r="P40" t="str">
        <f>0.61365*EXP((17.502*AL40)/(240.97+AL40))</f>
        <v>1.881459</v>
      </c>
      <c r="Q40" t="str">
        <f>P40-N40</f>
        <v>0.913709</v>
      </c>
      <c r="R40" t="str">
        <v>10.060947</v>
      </c>
      <c r="S40" t="str">
        <v>10.374876</v>
      </c>
      <c r="T40" t="str">
        <f>(P40/AM40)*1000</f>
        <v>20.170395</v>
      </c>
      <c r="U40" t="str">
        <f>V40*BG40</f>
        <v>0.441786</v>
      </c>
      <c r="V40" t="str">
        <v>7.500000</v>
      </c>
      <c r="W40" t="str">
        <v>PSF-01031_20251124223250_2fe</v>
      </c>
      <c r="X40" t="str">
        <v>99.352959</v>
      </c>
      <c r="Y40" t="str">
        <v>480.741974</v>
      </c>
      <c r="Z40" t="str">
        <v>0.793334</v>
      </c>
      <c r="AA40" t="str">
        <v>0.000000</v>
      </c>
      <c r="AB40" t="str">
        <v>0.000000</v>
      </c>
      <c r="AC40" t="str">
        <v>0.000000</v>
      </c>
      <c r="AD40" t="str">
        <v>0.5</v>
      </c>
      <c r="AE40" t="str">
        <v>0.80</v>
      </c>
      <c r="AF40" t="str">
        <f>AC40*AD40*AE40*AQ40</f>
        <v>1.639263</v>
      </c>
      <c r="AG40" t="str">
        <v>1.000000</v>
      </c>
      <c r="AH40" t="str">
        <v>41.01</v>
      </c>
      <c r="AI40" t="str">
        <v>39.77</v>
      </c>
      <c r="AJ40" t="str">
        <v>20.09</v>
      </c>
      <c r="AK40" t="str">
        <v>16.48</v>
      </c>
      <c r="AL40" t="str">
        <f>(AK40-AJ40)*(AJ40*0+0)+AK40</f>
        <v>16.48</v>
      </c>
      <c r="AM40" t="str">
        <v>93.28</v>
      </c>
      <c r="AN40" t="str">
        <v>1.2</v>
      </c>
      <c r="AO40" t="str">
        <v>-15.7</v>
      </c>
      <c r="AP40" t="str">
        <v>1433.6</v>
      </c>
      <c r="AQ40" t="str">
        <v>5</v>
      </c>
      <c r="AR40" t="str">
        <v>3.967</v>
      </c>
      <c r="AS40" t="str">
        <v>22:28:38</v>
      </c>
      <c r="AT40" t="str">
        <v>2025-11-24</v>
      </c>
      <c r="AU40" t="str">
        <v>-9.06</v>
      </c>
      <c r="AV40" t="str">
        <v>1</v>
      </c>
      <c r="AW40" t="str">
        <v>0.000</v>
      </c>
      <c r="AX40" t="str">
        <v>0.000</v>
      </c>
      <c r="AY40" t="str">
        <v>-0.000</v>
      </c>
      <c r="AZ40" t="str">
        <v>0.313</v>
      </c>
      <c r="BA40" t="str">
        <v>0.025</v>
      </c>
      <c r="BB40" t="str">
        <v>0.686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1</v>
      </c>
      <c r="BO40" t="str">
        <v>rectangular</v>
      </c>
      <c r="BP40" t="str">
        <v>8000</v>
      </c>
      <c r="BQ40" t="str">
        <v>5</v>
      </c>
      <c r="BR40" t="str">
        <v>-9999.000000</v>
      </c>
      <c r="BS40" t="str">
        <v>-9999.000000</v>
      </c>
      <c r="BT40" t="str">
        <v>55537</v>
      </c>
      <c r="BU40" t="str">
        <v>55537</v>
      </c>
      <c r="BV40" t="str">
        <v>55537</v>
      </c>
      <c r="BW40" t="str">
        <v>0.000000</v>
      </c>
      <c r="BX40" t="str">
        <v>-9999</v>
      </c>
      <c r="BY40" t="str">
        <v>0.000000</v>
      </c>
      <c r="BZ40" t="str">
        <v>0.000000</v>
      </c>
      <c r="CA40" t="str">
        <v>0.000000</v>
      </c>
      <c r="CB40" t="str">
        <v>0.000000</v>
      </c>
      <c r="CC40" t="str">
        <v>2.473016</v>
      </c>
      <c r="CD40" t="str">
        <v>2.453762</v>
      </c>
      <c r="CE40" t="str">
        <v>0.607122</v>
      </c>
      <c r="CF40" t="str">
        <v>0.572981</v>
      </c>
      <c r="CG40" t="str">
        <v>0.331987</v>
      </c>
      <c r="CH40" t="str">
        <v>-0.038422</v>
      </c>
      <c r="CI40" t="str">
        <v>0.294831</v>
      </c>
      <c r="CJ40" t="str">
        <v>0.111513</v>
      </c>
      <c r="CK40" t="str">
        <v>99.328636</v>
      </c>
      <c r="CL40" t="str">
        <v>0.000211</v>
      </c>
      <c r="CM40" t="str">
        <v>2.405086</v>
      </c>
      <c r="CN40" t="str">
        <v>0.000013</v>
      </c>
      <c r="CO40" t="str">
        <v>1.000000</v>
      </c>
      <c r="CP40" t="str">
        <v>2.372866</v>
      </c>
      <c r="CQ40" t="str">
        <v>0.000011</v>
      </c>
      <c r="CR40" t="str">
        <v>1.000000</v>
      </c>
      <c r="CS40" t="str">
        <v>0.601157</v>
      </c>
      <c r="CT40" t="str">
        <v>0.601293</v>
      </c>
      <c r="CU40" t="str">
        <v>0.106749</v>
      </c>
      <c r="CV40" t="str">
        <v>0.000000</v>
      </c>
      <c r="CW40" t="str">
        <v>PSF-01031_20251124223250_2fe</v>
      </c>
      <c r="CX40" t="str">
        <v>PFA-00872</v>
      </c>
      <c r="CY40" t="str">
        <v>PSA-00872</v>
      </c>
      <c r="CZ40" t="str">
        <v>PSF-01031</v>
      </c>
      <c r="DA40" t="str">
        <v>RHS-0785</v>
      </c>
      <c r="DB40" t="str">
        <v>3.0.0</v>
      </c>
      <c r="DC40" t="str">
        <v>2025-07-31T17:03:34.552Z</v>
      </c>
    </row>
    <row r="41">
      <c r="A41" t="str">
        <v>38</v>
      </c>
      <c r="B41" t="str">
        <v>22:33:17</v>
      </c>
      <c r="C41" t="str">
        <v>2025-11-24</v>
      </c>
      <c r="D41" t="str">
        <v>FB_Fl_Dark_8k</v>
      </c>
      <c r="E41" t="str">
        <v>Fern</v>
      </c>
      <c r="F41" t="str">
        <v/>
      </c>
      <c r="G41" t="str">
        <v/>
      </c>
      <c r="H41" t="str">
        <v/>
      </c>
      <c r="I41" t="str">
        <v/>
      </c>
      <c r="J41" t="str">
        <f>1/((1/L41)-(1/K41))</f>
        <v>0.000680</v>
      </c>
      <c r="K41" t="str">
        <f>BH41+(BI41*AN41)+(BJ41*AN41*POWER(V41,2))+(BK41*AN41*V41)+(BL41*POWER(AN41,2))</f>
        <v>0.035708</v>
      </c>
      <c r="L41" t="str">
        <f>((M41/1000)*(1000-((T41+S41)/2)))/(T41-S41)</f>
        <v>0.000668</v>
      </c>
      <c r="M41" t="str">
        <f>(AN41*(S41-R41))/(100*U41*(1000-S41))*1000</f>
        <v>0.007595</v>
      </c>
      <c r="N41" t="str">
        <v>0.964700</v>
      </c>
      <c r="O41" t="str">
        <v>0.939415</v>
      </c>
      <c r="P41" t="str">
        <f>0.61365*EXP((17.502*AL41)/(240.97+AL41))</f>
        <v>2.009020</v>
      </c>
      <c r="Q41" t="str">
        <f>P41-N41</f>
        <v>1.044319</v>
      </c>
      <c r="R41" t="str">
        <v>10.071077</v>
      </c>
      <c r="S41" t="str">
        <v>10.342151</v>
      </c>
      <c r="T41" t="str">
        <f>(P41/AM41)*1000</f>
        <v>21.537863</v>
      </c>
      <c r="U41" t="str">
        <f>V41*BG41</f>
        <v>0.441786</v>
      </c>
      <c r="V41" t="str">
        <v>7.500000</v>
      </c>
      <c r="W41" t="str">
        <v>PSF-01031_20251124223317_98e</v>
      </c>
      <c r="X41" t="str">
        <v>80.925819</v>
      </c>
      <c r="Y41" t="str">
        <v>370.327606</v>
      </c>
      <c r="Z41" t="str">
        <v>0.781475</v>
      </c>
      <c r="AA41" t="str">
        <v>0.000000</v>
      </c>
      <c r="AB41" t="str">
        <v>0.000000</v>
      </c>
      <c r="AC41" t="str">
        <v>0.000000</v>
      </c>
      <c r="AD41" t="str">
        <v>0.5</v>
      </c>
      <c r="AE41" t="str">
        <v>0.80</v>
      </c>
      <c r="AF41" t="str">
        <f>AC41*AD41*AE41*AQ41</f>
        <v>1.281896</v>
      </c>
      <c r="AG41" t="str">
        <v>1.000000</v>
      </c>
      <c r="AH41" t="str">
        <v>40.85</v>
      </c>
      <c r="AI41" t="str">
        <v>39.77</v>
      </c>
      <c r="AJ41" t="str">
        <v>20.10</v>
      </c>
      <c r="AK41" t="str">
        <v>17.52</v>
      </c>
      <c r="AL41" t="str">
        <f>(AK41-AJ41)*(AJ41*0+0)+AK41</f>
        <v>17.52</v>
      </c>
      <c r="AM41" t="str">
        <v>93.28</v>
      </c>
      <c r="AN41" t="str">
        <v>1.2</v>
      </c>
      <c r="AO41" t="str">
        <v>-16.4</v>
      </c>
      <c r="AP41" t="str">
        <v>1436.8</v>
      </c>
      <c r="AQ41" t="str">
        <v>4</v>
      </c>
      <c r="AR41" t="str">
        <v>3.966</v>
      </c>
      <c r="AS41" t="str">
        <v>22:28:38</v>
      </c>
      <c r="AT41" t="str">
        <v>2025-11-24</v>
      </c>
      <c r="AU41" t="str">
        <v>-9.06</v>
      </c>
      <c r="AV41" t="str">
        <v>1</v>
      </c>
      <c r="AW41" t="str">
        <v>0.000</v>
      </c>
      <c r="AX41" t="str">
        <v>-0.000</v>
      </c>
      <c r="AY41" t="str">
        <v>-0.000</v>
      </c>
      <c r="AZ41" t="str">
        <v>0.330</v>
      </c>
      <c r="BA41" t="str">
        <v>-0.022</v>
      </c>
      <c r="BB41" t="str">
        <v>0.042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1</v>
      </c>
      <c r="BO41" t="str">
        <v>rectangular</v>
      </c>
      <c r="BP41" t="str">
        <v>8000</v>
      </c>
      <c r="BQ41" t="str">
        <v>5</v>
      </c>
      <c r="BR41" t="str">
        <v>-9999.000000</v>
      </c>
      <c r="BS41" t="str">
        <v>-9999.000000</v>
      </c>
      <c r="BT41" t="str">
        <v>55537</v>
      </c>
      <c r="BU41" t="str">
        <v>55537</v>
      </c>
      <c r="BV41" t="str">
        <v>55537</v>
      </c>
      <c r="BW41" t="str">
        <v>0.000000</v>
      </c>
      <c r="BX41" t="str">
        <v>-9999</v>
      </c>
      <c r="BY41" t="str">
        <v>0.000000</v>
      </c>
      <c r="BZ41" t="str">
        <v>0.000000</v>
      </c>
      <c r="CA41" t="str">
        <v>0.000000</v>
      </c>
      <c r="CB41" t="str">
        <v>0.000000</v>
      </c>
      <c r="CC41" t="str">
        <v>2.473021</v>
      </c>
      <c r="CD41" t="str">
        <v>2.453531</v>
      </c>
      <c r="CE41" t="str">
        <v>0.607365</v>
      </c>
      <c r="CF41" t="str">
        <v>0.571772</v>
      </c>
      <c r="CG41" t="str">
        <v>0.331795</v>
      </c>
      <c r="CH41" t="str">
        <v>-0.027412</v>
      </c>
      <c r="CI41" t="str">
        <v>0.297006</v>
      </c>
      <c r="CJ41" t="str">
        <v>0.110531</v>
      </c>
      <c r="CK41" t="str">
        <v>80.925819</v>
      </c>
      <c r="CL41" t="str">
        <v>0.000211</v>
      </c>
      <c r="CM41" t="str">
        <v>2.405086</v>
      </c>
      <c r="CN41" t="str">
        <v>0.000013</v>
      </c>
      <c r="CO41" t="str">
        <v>1.000000</v>
      </c>
      <c r="CP41" t="str">
        <v>2.372866</v>
      </c>
      <c r="CQ41" t="str">
        <v>0.000011</v>
      </c>
      <c r="CR41" t="str">
        <v>1.000000</v>
      </c>
      <c r="CS41" t="str">
        <v>0.601157</v>
      </c>
      <c r="CT41" t="str">
        <v>0.601293</v>
      </c>
      <c r="CU41" t="str">
        <v>0.106749</v>
      </c>
      <c r="CV41" t="str">
        <v>0.000000</v>
      </c>
      <c r="CW41" t="str">
        <v>PSF-01031_20251124223317_98e</v>
      </c>
      <c r="CX41" t="str">
        <v>PFA-00872</v>
      </c>
      <c r="CY41" t="str">
        <v>PSA-00872</v>
      </c>
      <c r="CZ41" t="str">
        <v>PSF-01031</v>
      </c>
      <c r="DA41" t="str">
        <v>RHS-0785</v>
      </c>
      <c r="DB41" t="str">
        <v>3.0.0</v>
      </c>
      <c r="DC41" t="str">
        <v>2025-07-31T17:03:34.552Z</v>
      </c>
    </row>
    <row r="42">
      <c r="A42" t="str">
        <v>39</v>
      </c>
      <c r="B42" t="str">
        <v>22:33:38</v>
      </c>
      <c r="C42" t="str">
        <v>2025-11-24</v>
      </c>
      <c r="D42" t="str">
        <v>FB_Fl_Dark_8k</v>
      </c>
      <c r="E42" t="str">
        <v>Fern</v>
      </c>
      <c r="F42" t="str">
        <v/>
      </c>
      <c r="G42" t="str">
        <v/>
      </c>
      <c r="H42" t="str">
        <v/>
      </c>
      <c r="I42" t="str">
        <v/>
      </c>
      <c r="J42" t="str">
        <f>1/((1/L42)-(1/K42))</f>
        <v>0.001242</v>
      </c>
      <c r="K42" t="str">
        <f>BH42+(BI42*AN42)+(BJ42*AN42*POWER(V42,2))+(BK42*AN42*V42)+(BL42*POWER(AN42,2))</f>
        <v>0.034234</v>
      </c>
      <c r="L42" t="str">
        <f>((M42/1000)*(1000-((T42+S42)/2)))/(T42-S42)</f>
        <v>0.001199</v>
      </c>
      <c r="M42" t="str">
        <f>(AN42*(S42-R42))/(100*U42*(1000-S42))*1000</f>
        <v>0.010103</v>
      </c>
      <c r="N42" t="str">
        <v>0.974881</v>
      </c>
      <c r="O42" t="str">
        <v>0.939798</v>
      </c>
      <c r="P42" t="str">
        <f>0.61365*EXP((17.502*AL42)/(240.97+AL42))</f>
        <v>1.749480</v>
      </c>
      <c r="Q42" t="str">
        <f>P42-N42</f>
        <v>0.774599</v>
      </c>
      <c r="R42" t="str">
        <v>10.074395</v>
      </c>
      <c r="S42" t="str">
        <v>10.450478</v>
      </c>
      <c r="T42" t="str">
        <f>(P42/AM42)*1000</f>
        <v>18.753988</v>
      </c>
      <c r="U42" t="str">
        <f>V42*BG42</f>
        <v>0.441786</v>
      </c>
      <c r="V42" t="str">
        <v>7.500000</v>
      </c>
      <c r="W42" t="str">
        <v>PSF-01031_20251124223338_02e</v>
      </c>
      <c r="X42" t="str">
        <v>89.327576</v>
      </c>
      <c r="Y42" t="str">
        <v>390.505310</v>
      </c>
      <c r="Z42" t="str">
        <v>0.771251</v>
      </c>
      <c r="AA42" t="str">
        <v>0.000000</v>
      </c>
      <c r="AB42" t="str">
        <v>0.000000</v>
      </c>
      <c r="AC42" t="str">
        <v>0.000000</v>
      </c>
      <c r="AD42" t="str">
        <v>0.5</v>
      </c>
      <c r="AE42" t="str">
        <v>0.80</v>
      </c>
      <c r="AF42" t="str">
        <f>AC42*AD42*AE42*AQ42</f>
        <v>0.366452</v>
      </c>
      <c r="AG42" t="str">
        <v>1.000000</v>
      </c>
      <c r="AH42" t="str">
        <v>41.27</v>
      </c>
      <c r="AI42" t="str">
        <v>39.78</v>
      </c>
      <c r="AJ42" t="str">
        <v>20.11</v>
      </c>
      <c r="AK42" t="str">
        <v>15.34</v>
      </c>
      <c r="AL42" t="str">
        <f>(AK42-AJ42)*(AJ42*0+0)+AK42</f>
        <v>15.34</v>
      </c>
      <c r="AM42" t="str">
        <v>93.29</v>
      </c>
      <c r="AN42" t="str">
        <v>1.2</v>
      </c>
      <c r="AO42" t="str">
        <v>-16.1</v>
      </c>
      <c r="AP42" t="str">
        <v>1467.5</v>
      </c>
      <c r="AQ42" t="str">
        <v>1</v>
      </c>
      <c r="AR42" t="str">
        <v>3.964</v>
      </c>
      <c r="AS42" t="str">
        <v>22:28:38</v>
      </c>
      <c r="AT42" t="str">
        <v>2025-11-24</v>
      </c>
      <c r="AU42" t="str">
        <v>-9.06</v>
      </c>
      <c r="AV42" t="str">
        <v>1</v>
      </c>
      <c r="AW42" t="str">
        <v>0.000</v>
      </c>
      <c r="AX42" t="str">
        <v>0.000</v>
      </c>
      <c r="AY42" t="str">
        <v>0.000</v>
      </c>
      <c r="AZ42" t="str">
        <v>-0.144</v>
      </c>
      <c r="BA42" t="str">
        <v>-0.103</v>
      </c>
      <c r="BB42" t="str">
        <v>-0.295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1</v>
      </c>
      <c r="BO42" t="str">
        <v>rectangular</v>
      </c>
      <c r="BP42" t="str">
        <v>8000</v>
      </c>
      <c r="BQ42" t="str">
        <v>5</v>
      </c>
      <c r="BR42" t="str">
        <v>-9999.000000</v>
      </c>
      <c r="BS42" t="str">
        <v>-9999.000000</v>
      </c>
      <c r="BT42" t="str">
        <v>55537</v>
      </c>
      <c r="BU42" t="str">
        <v>55537</v>
      </c>
      <c r="BV42" t="str">
        <v>55537</v>
      </c>
      <c r="BW42" t="str">
        <v>0.000000</v>
      </c>
      <c r="BX42" t="str">
        <v>-9999</v>
      </c>
      <c r="BY42" t="str">
        <v>0.000000</v>
      </c>
      <c r="BZ42" t="str">
        <v>0.000000</v>
      </c>
      <c r="CA42" t="str">
        <v>0.000000</v>
      </c>
      <c r="CB42" t="str">
        <v>0.000000</v>
      </c>
      <c r="CC42" t="str">
        <v>2.473028</v>
      </c>
      <c r="CD42" t="str">
        <v>2.454109</v>
      </c>
      <c r="CE42" t="str">
        <v>0.607107</v>
      </c>
      <c r="CF42" t="str">
        <v>0.572338</v>
      </c>
      <c r="CG42" t="str">
        <v>0.331738</v>
      </c>
      <c r="CH42" t="str">
        <v>-0.050772</v>
      </c>
      <c r="CI42" t="str">
        <v>0.298545</v>
      </c>
      <c r="CJ42" t="str">
        <v>0.107844</v>
      </c>
      <c r="CK42" t="str">
        <v>89.327576</v>
      </c>
      <c r="CL42" t="str">
        <v>0.000212</v>
      </c>
      <c r="CM42" t="str">
        <v>2.405086</v>
      </c>
      <c r="CN42" t="str">
        <v>0.000013</v>
      </c>
      <c r="CO42" t="str">
        <v>1.000000</v>
      </c>
      <c r="CP42" t="str">
        <v>2.372866</v>
      </c>
      <c r="CQ42" t="str">
        <v>0.000011</v>
      </c>
      <c r="CR42" t="str">
        <v>1.000000</v>
      </c>
      <c r="CS42" t="str">
        <v>0.601157</v>
      </c>
      <c r="CT42" t="str">
        <v>0.601293</v>
      </c>
      <c r="CU42" t="str">
        <v>0.106749</v>
      </c>
      <c r="CV42" t="str">
        <v>0.000000</v>
      </c>
      <c r="CW42" t="str">
        <v>PSF-01031_20251124223338_02e</v>
      </c>
      <c r="CX42" t="str">
        <v>PFA-00872</v>
      </c>
      <c r="CY42" t="str">
        <v>PSA-00872</v>
      </c>
      <c r="CZ42" t="str">
        <v>PSF-01031</v>
      </c>
      <c r="DA42" t="str">
        <v>RHS-0785</v>
      </c>
      <c r="DB42" t="str">
        <v>3.0.0</v>
      </c>
      <c r="DC42" t="str">
        <v>2025-07-31T17:03:34.552Z</v>
      </c>
    </row>
    <row r="43">
      <c r="A43" t="str">
        <v>40</v>
      </c>
      <c r="B43" t="str">
        <v>22:34:00</v>
      </c>
      <c r="C43" t="str">
        <v>2025-11-24</v>
      </c>
      <c r="D43" t="str">
        <v>FB_Fl_Dark_8k</v>
      </c>
      <c r="E43" t="str">
        <v>Fern</v>
      </c>
      <c r="F43" t="str">
        <v/>
      </c>
      <c r="G43" t="str">
        <v/>
      </c>
      <c r="H43" t="str">
        <v/>
      </c>
      <c r="I43" t="str">
        <v/>
      </c>
      <c r="J43" t="str">
        <f>1/((1/L43)-(1/K43))</f>
        <v>0.001084</v>
      </c>
      <c r="K43" t="str">
        <f>BH43+(BI43*AN43)+(BJ43*AN43*POWER(V43,2))+(BK43*AN43*V43)+(BL43*POWER(AN43,2))</f>
        <v>0.036547</v>
      </c>
      <c r="L43" t="str">
        <f>((M43/1000)*(1000-((T43+S43)/2)))/(T43-S43)</f>
        <v>0.001052</v>
      </c>
      <c r="M43" t="str">
        <f>(AN43*(S43-R43))/(100*U43*(1000-S43))*1000</f>
        <v>0.011607</v>
      </c>
      <c r="N43" t="str">
        <v>0.978355</v>
      </c>
      <c r="O43" t="str">
        <v>0.940610</v>
      </c>
      <c r="P43" t="str">
        <f>0.61365*EXP((17.502*AL43)/(240.97+AL43))</f>
        <v>1.990799</v>
      </c>
      <c r="Q43" t="str">
        <f>P43-N43</f>
        <v>1.012444</v>
      </c>
      <c r="R43" t="str">
        <v>10.084027</v>
      </c>
      <c r="S43" t="str">
        <v>10.488680</v>
      </c>
      <c r="T43" t="str">
        <f>(P43/AM43)*1000</f>
        <v>21.342817</v>
      </c>
      <c r="U43" t="str">
        <f>V43*BG43</f>
        <v>0.441786</v>
      </c>
      <c r="V43" t="str">
        <v>7.500000</v>
      </c>
      <c r="W43" t="str">
        <v>PSF-01031_20251124223400_2b3</v>
      </c>
      <c r="X43" t="str">
        <v>122.789024</v>
      </c>
      <c r="Y43" t="str">
        <v>498.944519</v>
      </c>
      <c r="Z43" t="str">
        <v>0.753902</v>
      </c>
      <c r="AA43" t="str">
        <v>0.000000</v>
      </c>
      <c r="AB43" t="str">
        <v>0.000000</v>
      </c>
      <c r="AC43" t="str">
        <v>0.000000</v>
      </c>
      <c r="AD43" t="str">
        <v>0.5</v>
      </c>
      <c r="AE43" t="str">
        <v>0.80</v>
      </c>
      <c r="AF43" t="str">
        <f>AC43*AD43*AE43*AQ43</f>
        <v>1.165684</v>
      </c>
      <c r="AG43" t="str">
        <v>1.000000</v>
      </c>
      <c r="AH43" t="str">
        <v>41.40</v>
      </c>
      <c r="AI43" t="str">
        <v>39.80</v>
      </c>
      <c r="AJ43" t="str">
        <v>20.11</v>
      </c>
      <c r="AK43" t="str">
        <v>17.37</v>
      </c>
      <c r="AL43" t="str">
        <f>(AK43-AJ43)*(AJ43*0+0)+AK43</f>
        <v>17.37</v>
      </c>
      <c r="AM43" t="str">
        <v>93.28</v>
      </c>
      <c r="AN43" t="str">
        <v>1.3</v>
      </c>
      <c r="AO43" t="str">
        <v>-17.0</v>
      </c>
      <c r="AP43" t="str">
        <v>1452.6</v>
      </c>
      <c r="AQ43" t="str">
        <v>4</v>
      </c>
      <c r="AR43" t="str">
        <v>3.963</v>
      </c>
      <c r="AS43" t="str">
        <v>22:28:38</v>
      </c>
      <c r="AT43" t="str">
        <v>2025-11-24</v>
      </c>
      <c r="AU43" t="str">
        <v>-9.06</v>
      </c>
      <c r="AV43" t="str">
        <v>1</v>
      </c>
      <c r="AW43" t="str">
        <v>0.000</v>
      </c>
      <c r="AX43" t="str">
        <v>0.000</v>
      </c>
      <c r="AY43" t="str">
        <v>0.001</v>
      </c>
      <c r="AZ43" t="str">
        <v>-0.134</v>
      </c>
      <c r="BA43" t="str">
        <v>-0.081</v>
      </c>
      <c r="BB43" t="str">
        <v>-0.105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1</v>
      </c>
      <c r="BO43" t="str">
        <v>rectangular</v>
      </c>
      <c r="BP43" t="str">
        <v>8000</v>
      </c>
      <c r="BQ43" t="str">
        <v>5</v>
      </c>
      <c r="BR43" t="str">
        <v>-9999.000000</v>
      </c>
      <c r="BS43" t="str">
        <v>-9999.000000</v>
      </c>
      <c r="BT43" t="str">
        <v>55537</v>
      </c>
      <c r="BU43" t="str">
        <v>55537</v>
      </c>
      <c r="BV43" t="str">
        <v>55537</v>
      </c>
      <c r="BW43" t="str">
        <v>0.000000</v>
      </c>
      <c r="BX43" t="str">
        <v>-9999</v>
      </c>
      <c r="BY43" t="str">
        <v>0.000000</v>
      </c>
      <c r="BZ43" t="str">
        <v>0.000000</v>
      </c>
      <c r="CA43" t="str">
        <v>0.000000</v>
      </c>
      <c r="CB43" t="str">
        <v>0.000000</v>
      </c>
      <c r="CC43" t="str">
        <v>2.473057</v>
      </c>
      <c r="CD43" t="str">
        <v>2.454289</v>
      </c>
      <c r="CE43" t="str">
        <v>0.607511</v>
      </c>
      <c r="CF43" t="str">
        <v>0.570733</v>
      </c>
      <c r="CG43" t="str">
        <v>0.331660</v>
      </c>
      <c r="CH43" t="str">
        <v>-0.029089</v>
      </c>
      <c r="CI43" t="str">
        <v>0.300261</v>
      </c>
      <c r="CJ43" t="str">
        <v>0.110314</v>
      </c>
      <c r="CK43" t="str">
        <v>122.789024</v>
      </c>
      <c r="CL43" t="str">
        <v>0.000212</v>
      </c>
      <c r="CM43" t="str">
        <v>2.405086</v>
      </c>
      <c r="CN43" t="str">
        <v>0.000013</v>
      </c>
      <c r="CO43" t="str">
        <v>1.000000</v>
      </c>
      <c r="CP43" t="str">
        <v>2.372866</v>
      </c>
      <c r="CQ43" t="str">
        <v>0.000011</v>
      </c>
      <c r="CR43" t="str">
        <v>1.000000</v>
      </c>
      <c r="CS43" t="str">
        <v>0.601157</v>
      </c>
      <c r="CT43" t="str">
        <v>0.601293</v>
      </c>
      <c r="CU43" t="str">
        <v>0.106749</v>
      </c>
      <c r="CV43" t="str">
        <v>0.000000</v>
      </c>
      <c r="CW43" t="str">
        <v>PSF-01031_20251124223400_2b3</v>
      </c>
      <c r="CX43" t="str">
        <v>PFA-00872</v>
      </c>
      <c r="CY43" t="str">
        <v>PSA-00872</v>
      </c>
      <c r="CZ43" t="str">
        <v>PSF-01031</v>
      </c>
      <c r="DA43" t="str">
        <v>RHS-0785</v>
      </c>
      <c r="DB43" t="str">
        <v>3.0.0</v>
      </c>
      <c r="DC43" t="str">
        <v>2025-07-31T17:03:34.552Z</v>
      </c>
    </row>
    <row r="44">
      <c r="A44" t="str">
        <v>41</v>
      </c>
      <c r="B44" t="str">
        <v>22:35:10</v>
      </c>
      <c r="C44" t="str">
        <v>2025-11-24</v>
      </c>
      <c r="D44" t="str">
        <v>FB_Fl_Dark_8k</v>
      </c>
      <c r="E44" t="str">
        <v>Fern</v>
      </c>
      <c r="F44" t="str">
        <v/>
      </c>
      <c r="G44" t="str">
        <v/>
      </c>
      <c r="H44" t="str">
        <v/>
      </c>
      <c r="I44" t="str">
        <v/>
      </c>
      <c r="J44" t="str">
        <f>1/((1/L44)-(1/K44))</f>
        <v>0.000961</v>
      </c>
      <c r="K44" t="str">
        <f>BH44+(BI44*AN44)+(BJ44*AN44*POWER(V44,2))+(BK44*AN44*V44)+(BL44*POWER(AN44,2))</f>
        <v>0.034398</v>
      </c>
      <c r="L44" t="str">
        <f>((M44/1000)*(1000-((T44+S44)/2)))/(T44-S44)</f>
        <v>0.000935</v>
      </c>
      <c r="M44" t="str">
        <f>(AN44*(S44-R44))/(100*U44*(1000-S44))*1000</f>
        <v>0.010973</v>
      </c>
      <c r="N44" t="str">
        <v>0.981876</v>
      </c>
      <c r="O44" t="str">
        <v>0.943957</v>
      </c>
      <c r="P44" t="str">
        <f>0.61365*EXP((17.502*AL44)/(240.97+AL44))</f>
        <v>2.058985</v>
      </c>
      <c r="Q44" t="str">
        <f>P44-N44</f>
        <v>1.077109</v>
      </c>
      <c r="R44" t="str">
        <v>10.119502</v>
      </c>
      <c r="S44" t="str">
        <v>10.526005</v>
      </c>
      <c r="T44" t="str">
        <f>(P44/AM44)*1000</f>
        <v>22.072927</v>
      </c>
      <c r="U44" t="str">
        <f>V44*BG44</f>
        <v>0.441786</v>
      </c>
      <c r="V44" t="str">
        <v>7.500000</v>
      </c>
      <c r="W44" t="str">
        <v>PSF-01031_20251124223510_b6d</v>
      </c>
      <c r="X44" t="str">
        <v>75.067879</v>
      </c>
      <c r="Y44" t="str">
        <v>387.539154</v>
      </c>
      <c r="Z44" t="str">
        <v>0.806296</v>
      </c>
      <c r="AA44" t="str">
        <v>0.000000</v>
      </c>
      <c r="AB44" t="str">
        <v>0.000000</v>
      </c>
      <c r="AC44" t="str">
        <v>0.000000</v>
      </c>
      <c r="AD44" t="str">
        <v>0.5</v>
      </c>
      <c r="AE44" t="str">
        <v>0.80</v>
      </c>
      <c r="AF44" t="str">
        <f>AC44*AD44*AE44*AQ44</f>
        <v>1.660794</v>
      </c>
      <c r="AG44" t="str">
        <v>1.000000</v>
      </c>
      <c r="AH44" t="str">
        <v>41.43</v>
      </c>
      <c r="AI44" t="str">
        <v>39.83</v>
      </c>
      <c r="AJ44" t="str">
        <v>20.16</v>
      </c>
      <c r="AK44" t="str">
        <v>17.91</v>
      </c>
      <c r="AL44" t="str">
        <f>(AK44-AJ44)*(AJ44*0+0)+AK44</f>
        <v>17.91</v>
      </c>
      <c r="AM44" t="str">
        <v>93.28</v>
      </c>
      <c r="AN44" t="str">
        <v>1.2</v>
      </c>
      <c r="AO44" t="str">
        <v>-15.9</v>
      </c>
      <c r="AP44" t="str">
        <v>1447.7</v>
      </c>
      <c r="AQ44" t="str">
        <v>5</v>
      </c>
      <c r="AR44" t="str">
        <v>3.961</v>
      </c>
      <c r="AS44" t="str">
        <v>22:28:38</v>
      </c>
      <c r="AT44" t="str">
        <v>2025-11-24</v>
      </c>
      <c r="AU44" t="str">
        <v>-9.06</v>
      </c>
      <c r="AV44" t="str">
        <v>1</v>
      </c>
      <c r="AW44" t="str">
        <v>0.000</v>
      </c>
      <c r="AX44" t="str">
        <v>0.000</v>
      </c>
      <c r="AY44" t="str">
        <v>0.000</v>
      </c>
      <c r="AZ44" t="str">
        <v>0.144</v>
      </c>
      <c r="BA44" t="str">
        <v>0.013</v>
      </c>
      <c r="BB44" t="str">
        <v>0.363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1</v>
      </c>
      <c r="BO44" t="str">
        <v>rectangular</v>
      </c>
      <c r="BP44" t="str">
        <v>8000</v>
      </c>
      <c r="BQ44" t="str">
        <v>5</v>
      </c>
      <c r="BR44" t="str">
        <v>-9999.000000</v>
      </c>
      <c r="BS44" t="str">
        <v>-9999.000000</v>
      </c>
      <c r="BT44" t="str">
        <v>55537</v>
      </c>
      <c r="BU44" t="str">
        <v>55537</v>
      </c>
      <c r="BV44" t="str">
        <v>55537</v>
      </c>
      <c r="BW44" t="str">
        <v>0.000000</v>
      </c>
      <c r="BX44" t="str">
        <v>-9999</v>
      </c>
      <c r="BY44" t="str">
        <v>0.000000</v>
      </c>
      <c r="BZ44" t="str">
        <v>0.000000</v>
      </c>
      <c r="CA44" t="str">
        <v>0.000000</v>
      </c>
      <c r="CB44" t="str">
        <v>0.000000</v>
      </c>
      <c r="CC44" t="str">
        <v>2.473098</v>
      </c>
      <c r="CD44" t="str">
        <v>2.454329</v>
      </c>
      <c r="CE44" t="str">
        <v>0.607136</v>
      </c>
      <c r="CF44" t="str">
        <v>0.572617</v>
      </c>
      <c r="CG44" t="str">
        <v>0.331072</v>
      </c>
      <c r="CH44" t="str">
        <v>-0.023781</v>
      </c>
      <c r="CI44" t="str">
        <v>0.305853</v>
      </c>
      <c r="CJ44" t="str">
        <v>0.111498</v>
      </c>
      <c r="CK44" t="str">
        <v>75.067879</v>
      </c>
      <c r="CL44" t="str">
        <v>0.000210</v>
      </c>
      <c r="CM44" t="str">
        <v>2.405086</v>
      </c>
      <c r="CN44" t="str">
        <v>0.000013</v>
      </c>
      <c r="CO44" t="str">
        <v>1.000000</v>
      </c>
      <c r="CP44" t="str">
        <v>2.372866</v>
      </c>
      <c r="CQ44" t="str">
        <v>0.000011</v>
      </c>
      <c r="CR44" t="str">
        <v>1.000000</v>
      </c>
      <c r="CS44" t="str">
        <v>0.601157</v>
      </c>
      <c r="CT44" t="str">
        <v>0.601293</v>
      </c>
      <c r="CU44" t="str">
        <v>0.106749</v>
      </c>
      <c r="CV44" t="str">
        <v>0.000000</v>
      </c>
      <c r="CW44" t="str">
        <v>PSF-01031_20251124223510_b6d</v>
      </c>
      <c r="CX44" t="str">
        <v>PFA-00872</v>
      </c>
      <c r="CY44" t="str">
        <v>PSA-00872</v>
      </c>
      <c r="CZ44" t="str">
        <v>PSF-01031</v>
      </c>
      <c r="DA44" t="str">
        <v>RHS-0785</v>
      </c>
      <c r="DB44" t="str">
        <v>3.0.0</v>
      </c>
      <c r="DC44" t="str">
        <v>2025-07-31T17:03:34.552Z</v>
      </c>
    </row>
    <row r="45">
      <c r="A45" t="str">
        <v>42</v>
      </c>
      <c r="B45" t="str">
        <v>22:35:32</v>
      </c>
      <c r="C45" t="str">
        <v>2025-11-24</v>
      </c>
      <c r="D45" t="str">
        <v>FB_Fl_Dark_8k</v>
      </c>
      <c r="E45" t="str">
        <v>Fern</v>
      </c>
      <c r="F45" t="str">
        <v/>
      </c>
      <c r="G45" t="str">
        <v/>
      </c>
      <c r="H45" t="str">
        <v/>
      </c>
      <c r="I45" t="str">
        <v/>
      </c>
      <c r="J45" t="str">
        <f>1/((1/L45)-(1/K45))</f>
        <v>0.000996</v>
      </c>
      <c r="K45" t="str">
        <f>BH45+(BI45*AN45)+(BJ45*AN45*POWER(V45,2))+(BK45*AN45*V45)+(BL45*POWER(AN45,2))</f>
        <v>0.034324</v>
      </c>
      <c r="L45" t="str">
        <f>((M45/1000)*(1000-((T45+S45)/2)))/(T45-S45)</f>
        <v>0.000968</v>
      </c>
      <c r="M45" t="str">
        <f>(AN45*(S45-R45))/(100*U45*(1000-S45))*1000</f>
        <v>0.011653</v>
      </c>
      <c r="N45" t="str">
        <v>0.985661</v>
      </c>
      <c r="O45" t="str">
        <v>0.945308</v>
      </c>
      <c r="P45" t="str">
        <f>0.61365*EXP((17.502*AL45)/(240.97+AL45))</f>
        <v>2.089984</v>
      </c>
      <c r="Q45" t="str">
        <f>P45-N45</f>
        <v>1.104323</v>
      </c>
      <c r="R45" t="str">
        <v>10.133927</v>
      </c>
      <c r="S45" t="str">
        <v>10.566519</v>
      </c>
      <c r="T45" t="str">
        <f>(P45/AM45)*1000</f>
        <v>22.405127</v>
      </c>
      <c r="U45" t="str">
        <f>V45*BG45</f>
        <v>0.441786</v>
      </c>
      <c r="V45" t="str">
        <v>7.500000</v>
      </c>
      <c r="W45" t="str">
        <v>PSF-01031_20251124223532_95d</v>
      </c>
      <c r="X45" t="str">
        <v>133.337982</v>
      </c>
      <c r="Y45" t="str">
        <v>460.702667</v>
      </c>
      <c r="Z45" t="str">
        <v>0.710577</v>
      </c>
      <c r="AA45" t="str">
        <v>0.000000</v>
      </c>
      <c r="AB45" t="str">
        <v>0.000000</v>
      </c>
      <c r="AC45" t="str">
        <v>0.000000</v>
      </c>
      <c r="AD45" t="str">
        <v>0.5</v>
      </c>
      <c r="AE45" t="str">
        <v>0.80</v>
      </c>
      <c r="AF45" t="str">
        <f>AC45*AD45*AE45*AQ45</f>
        <v>1.281219</v>
      </c>
      <c r="AG45" t="str">
        <v>1.000000</v>
      </c>
      <c r="AH45" t="str">
        <v>41.55</v>
      </c>
      <c r="AI45" t="str">
        <v>39.85</v>
      </c>
      <c r="AJ45" t="str">
        <v>20.18</v>
      </c>
      <c r="AK45" t="str">
        <v>18.14</v>
      </c>
      <c r="AL45" t="str">
        <f>(AK45-AJ45)*(AJ45*0+0)+AK45</f>
        <v>18.14</v>
      </c>
      <c r="AM45" t="str">
        <v>93.28</v>
      </c>
      <c r="AN45" t="str">
        <v>1.2</v>
      </c>
      <c r="AO45" t="str">
        <v>-16.0</v>
      </c>
      <c r="AP45" t="str">
        <v>1456.2</v>
      </c>
      <c r="AQ45" t="str">
        <v>5</v>
      </c>
      <c r="AR45" t="str">
        <v>3.959</v>
      </c>
      <c r="AS45" t="str">
        <v>22:28:38</v>
      </c>
      <c r="AT45" t="str">
        <v>2025-11-24</v>
      </c>
      <c r="AU45" t="str">
        <v>-9.06</v>
      </c>
      <c r="AV45" t="str">
        <v>1</v>
      </c>
      <c r="AW45" t="str">
        <v>0.000</v>
      </c>
      <c r="AX45" t="str">
        <v>0.000</v>
      </c>
      <c r="AY45" t="str">
        <v>0.001</v>
      </c>
      <c r="AZ45" t="str">
        <v>0.432</v>
      </c>
      <c r="BA45" t="str">
        <v>0.045</v>
      </c>
      <c r="BB45" t="str">
        <v>-0.146</v>
      </c>
      <c r="BC45" t="str">
        <v>0</v>
      </c>
      <c r="BD45" t="str">
        <v>150</v>
      </c>
      <c r="BE45" t="str">
        <v>-9999.000</v>
      </c>
      <c r="BF45" t="str">
        <v>-9999.000000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1</v>
      </c>
      <c r="BO45" t="str">
        <v>rectangular</v>
      </c>
      <c r="BP45" t="str">
        <v>8000</v>
      </c>
      <c r="BQ45" t="str">
        <v>5</v>
      </c>
      <c r="BR45" t="str">
        <v>-9999.000000</v>
      </c>
      <c r="BS45" t="str">
        <v>-9999.000000</v>
      </c>
      <c r="BT45" t="str">
        <v>55537</v>
      </c>
      <c r="BU45" t="str">
        <v>55537</v>
      </c>
      <c r="BV45" t="str">
        <v>55537</v>
      </c>
      <c r="BW45" t="str">
        <v>0.000000</v>
      </c>
      <c r="BX45" t="str">
        <v>-9999</v>
      </c>
      <c r="BY45" t="str">
        <v>0.000000</v>
      </c>
      <c r="BZ45" t="str">
        <v>0.000000</v>
      </c>
      <c r="CA45" t="str">
        <v>0.000000</v>
      </c>
      <c r="CB45" t="str">
        <v>0.000000</v>
      </c>
      <c r="CC45" t="str">
        <v>2.473117</v>
      </c>
      <c r="CD45" t="str">
        <v>2.454485</v>
      </c>
      <c r="CE45" t="str">
        <v>0.607123</v>
      </c>
      <c r="CF45" t="str">
        <v>0.572501</v>
      </c>
      <c r="CG45" t="str">
        <v>0.330845</v>
      </c>
      <c r="CH45" t="str">
        <v>-0.021380</v>
      </c>
      <c r="CI45" t="str">
        <v>0.307509</v>
      </c>
      <c r="CJ45" t="str">
        <v>0.110906</v>
      </c>
      <c r="CK45" t="str">
        <v>133.337982</v>
      </c>
      <c r="CL45" t="str">
        <v>0.000211</v>
      </c>
      <c r="CM45" t="str">
        <v>2.405086</v>
      </c>
      <c r="CN45" t="str">
        <v>0.000013</v>
      </c>
      <c r="CO45" t="str">
        <v>1.000000</v>
      </c>
      <c r="CP45" t="str">
        <v>2.372866</v>
      </c>
      <c r="CQ45" t="str">
        <v>0.000011</v>
      </c>
      <c r="CR45" t="str">
        <v>1.000000</v>
      </c>
      <c r="CS45" t="str">
        <v>0.601157</v>
      </c>
      <c r="CT45" t="str">
        <v>0.601293</v>
      </c>
      <c r="CU45" t="str">
        <v>0.106749</v>
      </c>
      <c r="CV45" t="str">
        <v>0.000000</v>
      </c>
      <c r="CW45" t="str">
        <v>PSF-01031_20251124223532_95d</v>
      </c>
      <c r="CX45" t="str">
        <v>PFA-00872</v>
      </c>
      <c r="CY45" t="str">
        <v>PSA-00872</v>
      </c>
      <c r="CZ45" t="str">
        <v>PSF-01031</v>
      </c>
      <c r="DA45" t="str">
        <v>RHS-0785</v>
      </c>
      <c r="DB45" t="str">
        <v>3.0.0</v>
      </c>
      <c r="DC45" t="str">
        <v>2025-07-31T17:03:34.552Z</v>
      </c>
    </row>
    <row r="46">
      <c r="A46" t="str">
        <v>43</v>
      </c>
      <c r="B46" t="str">
        <v>22:36:49</v>
      </c>
      <c r="C46" t="str">
        <v>2025-11-24</v>
      </c>
      <c r="D46" t="str">
        <v>FB_Fl_Dark_8k</v>
      </c>
      <c r="E46" t="str">
        <v>Fern</v>
      </c>
      <c r="F46" t="str">
        <v/>
      </c>
      <c r="G46" t="str">
        <v/>
      </c>
      <c r="H46" t="str">
        <v/>
      </c>
      <c r="I46" t="str">
        <v/>
      </c>
      <c r="J46" t="str">
        <f>1/((1/L46)-(1/K46))</f>
        <v>0.000021</v>
      </c>
      <c r="K46" t="str">
        <f>BH46+(BI46*AN46)+(BJ46*AN46*POWER(V46,2))+(BK46*AN46*V46)+(BL46*POWER(AN46,2))</f>
        <v>0.034359</v>
      </c>
      <c r="L46" t="str">
        <f>((M46/1000)*(1000-((T46+S46)/2)))/(T46-S46)</f>
        <v>0.000021</v>
      </c>
      <c r="M46" t="str">
        <f>(AN46*(S46-R46))/(100*U46*(1000-S46))*1000</f>
        <v>0.000167</v>
      </c>
      <c r="N46" t="str">
        <v>0.948493</v>
      </c>
      <c r="O46" t="str">
        <v>0.947914</v>
      </c>
      <c r="P46" t="str">
        <f>0.61365*EXP((17.502*AL46)/(240.97+AL46))</f>
        <v>1.668536</v>
      </c>
      <c r="Q46" t="str">
        <f>P46-N46</f>
        <v>0.720043</v>
      </c>
      <c r="R46" t="str">
        <v>10.162493</v>
      </c>
      <c r="S46" t="str">
        <v>10.168704</v>
      </c>
      <c r="T46" t="str">
        <f>(P46/AM46)*1000</f>
        <v>17.888208</v>
      </c>
      <c r="U46" t="str">
        <f>V46*BG46</f>
        <v>0.441786</v>
      </c>
      <c r="V46" t="str">
        <v>7.500000</v>
      </c>
      <c r="W46" t="str">
        <v>PSF-01031_20251124223649_f44</v>
      </c>
      <c r="X46" t="str">
        <v>102.806564</v>
      </c>
      <c r="Y46" t="str">
        <v>507.438904</v>
      </c>
      <c r="Z46" t="str">
        <v>0.797401</v>
      </c>
      <c r="AA46" t="str">
        <v>0.000000</v>
      </c>
      <c r="AB46" t="str">
        <v>0.000000</v>
      </c>
      <c r="AC46" t="str">
        <v>0.000000</v>
      </c>
      <c r="AD46" t="str">
        <v>0.5</v>
      </c>
      <c r="AE46" t="str">
        <v>0.80</v>
      </c>
      <c r="AF46" t="str">
        <f>AC46*AD46*AE46*AQ46</f>
        <v>1.582236</v>
      </c>
      <c r="AG46" t="str">
        <v>1.000000</v>
      </c>
      <c r="AH46" t="str">
        <v>39.83</v>
      </c>
      <c r="AI46" t="str">
        <v>39.81</v>
      </c>
      <c r="AJ46" t="str">
        <v>20.24</v>
      </c>
      <c r="AK46" t="str">
        <v>14.61</v>
      </c>
      <c r="AL46" t="str">
        <f>(AK46-AJ46)*(AJ46*0+0)+AK46</f>
        <v>14.61</v>
      </c>
      <c r="AM46" t="str">
        <v>93.28</v>
      </c>
      <c r="AN46" t="str">
        <v>1.2</v>
      </c>
      <c r="AO46" t="str">
        <v>-16.1</v>
      </c>
      <c r="AP46" t="str">
        <v>1465.4</v>
      </c>
      <c r="AQ46" t="str">
        <v>5</v>
      </c>
      <c r="AR46" t="str">
        <v>3.958</v>
      </c>
      <c r="AS46" t="str">
        <v>22:28:38</v>
      </c>
      <c r="AT46" t="str">
        <v>2025-11-24</v>
      </c>
      <c r="AU46" t="str">
        <v>-9.06</v>
      </c>
      <c r="AV46" t="str">
        <v>1</v>
      </c>
      <c r="AW46" t="str">
        <v>0.000</v>
      </c>
      <c r="AX46" t="str">
        <v>0.000</v>
      </c>
      <c r="AY46" t="str">
        <v>0.000</v>
      </c>
      <c r="AZ46" t="str">
        <v>0.271</v>
      </c>
      <c r="BA46" t="str">
        <v>0.059</v>
      </c>
      <c r="BB46" t="str">
        <v>0.781</v>
      </c>
      <c r="BC46" t="str">
        <v>0</v>
      </c>
      <c r="BD46" t="str">
        <v>150</v>
      </c>
      <c r="BE46" t="str">
        <v>-9999.000</v>
      </c>
      <c r="BF46" t="str">
        <v>-9999.000000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1</v>
      </c>
      <c r="BO46" t="str">
        <v>rectangular</v>
      </c>
      <c r="BP46" t="str">
        <v>8000</v>
      </c>
      <c r="BQ46" t="str">
        <v>5</v>
      </c>
      <c r="BR46" t="str">
        <v>-9999.000000</v>
      </c>
      <c r="BS46" t="str">
        <v>-9999.000000</v>
      </c>
      <c r="BT46" t="str">
        <v>55537</v>
      </c>
      <c r="BU46" t="str">
        <v>55537</v>
      </c>
      <c r="BV46" t="str">
        <v>55537</v>
      </c>
      <c r="BW46" t="str">
        <v>0.000000</v>
      </c>
      <c r="BX46" t="str">
        <v>-9999</v>
      </c>
      <c r="BY46" t="str">
        <v>0.000000</v>
      </c>
      <c r="BZ46" t="str">
        <v>0.000000</v>
      </c>
      <c r="CA46" t="str">
        <v>0.000000</v>
      </c>
      <c r="CB46" t="str">
        <v>0.000000</v>
      </c>
      <c r="CC46" t="str">
        <v>2.473052</v>
      </c>
      <c r="CD46" t="str">
        <v>2.452107</v>
      </c>
      <c r="CE46" t="str">
        <v>0.607129</v>
      </c>
      <c r="CF46" t="str">
        <v>0.572277</v>
      </c>
      <c r="CG46" t="str">
        <v>0.330051</v>
      </c>
      <c r="CH46" t="str">
        <v>-0.059959</v>
      </c>
      <c r="CI46" t="str">
        <v>0.313416</v>
      </c>
      <c r="CJ46" t="str">
        <v>0.111324</v>
      </c>
      <c r="CK46" t="str">
        <v>102.806564</v>
      </c>
      <c r="CL46" t="str">
        <v>0.000210</v>
      </c>
      <c r="CM46" t="str">
        <v>2.405086</v>
      </c>
      <c r="CN46" t="str">
        <v>0.000013</v>
      </c>
      <c r="CO46" t="str">
        <v>1.000000</v>
      </c>
      <c r="CP46" t="str">
        <v>2.372866</v>
      </c>
      <c r="CQ46" t="str">
        <v>0.000011</v>
      </c>
      <c r="CR46" t="str">
        <v>1.000000</v>
      </c>
      <c r="CS46" t="str">
        <v>0.601157</v>
      </c>
      <c r="CT46" t="str">
        <v>0.601293</v>
      </c>
      <c r="CU46" t="str">
        <v>0.106749</v>
      </c>
      <c r="CV46" t="str">
        <v>0.000000</v>
      </c>
      <c r="CW46" t="str">
        <v>PSF-01031_20251124223649_f44</v>
      </c>
      <c r="CX46" t="str">
        <v>PFA-00872</v>
      </c>
      <c r="CY46" t="str">
        <v>PSA-00872</v>
      </c>
      <c r="CZ46" t="str">
        <v>PSF-01031</v>
      </c>
      <c r="DA46" t="str">
        <v>RHS-0785</v>
      </c>
      <c r="DB46" t="str">
        <v>3.0.0</v>
      </c>
      <c r="DC46" t="str">
        <v>2025-07-31T17:03:34.552Z</v>
      </c>
    </row>
    <row r="47">
      <c r="A47" t="str">
        <v>44</v>
      </c>
      <c r="B47" t="str">
        <v>22:37:08</v>
      </c>
      <c r="C47" t="str">
        <v>2025-11-24</v>
      </c>
      <c r="D47" t="str">
        <v>FB_Fl_Dark_8k</v>
      </c>
      <c r="E47" t="str">
        <v>Fern</v>
      </c>
      <c r="F47" t="str">
        <v/>
      </c>
      <c r="G47" t="str">
        <v/>
      </c>
      <c r="H47" t="str">
        <v/>
      </c>
      <c r="I47" t="str">
        <v/>
      </c>
      <c r="J47" t="str">
        <f>1/((1/L47)-(1/K47))</f>
        <v>0.001112</v>
      </c>
      <c r="K47" t="str">
        <f>BH47+(BI47*AN47)+(BJ47*AN47*POWER(V47,2))+(BK47*AN47*V47)+(BL47*POWER(AN47,2))</f>
        <v>0.035129</v>
      </c>
      <c r="L47" t="str">
        <f>((M47/1000)*(1000-((T47+S47)/2)))/(T47-S47)</f>
        <v>0.001077</v>
      </c>
      <c r="M47" t="str">
        <f>(AN47*(S47-R47))/(100*U47*(1000-S47))*1000</f>
        <v>0.009535</v>
      </c>
      <c r="N47" t="str">
        <v>0.980210</v>
      </c>
      <c r="O47" t="str">
        <v>0.947948</v>
      </c>
      <c r="P47" t="str">
        <f>0.61365*EXP((17.502*AL47)/(240.97+AL47))</f>
        <v>1.793416</v>
      </c>
      <c r="Q47" t="str">
        <f>P47-N47</f>
        <v>0.813206</v>
      </c>
      <c r="R47" t="str">
        <v>10.162366</v>
      </c>
      <c r="S47" t="str">
        <v>10.508229</v>
      </c>
      <c r="T47" t="str">
        <f>(P47/AM47)*1000</f>
        <v>19.226110</v>
      </c>
      <c r="U47" t="str">
        <f>V47*BG47</f>
        <v>0.441786</v>
      </c>
      <c r="V47" t="str">
        <v>7.500000</v>
      </c>
      <c r="W47" t="str">
        <v>PSF-01031_20251124223708_5ae</v>
      </c>
      <c r="X47" t="str">
        <v>99.254250</v>
      </c>
      <c r="Y47" t="str">
        <v>527.659180</v>
      </c>
      <c r="Z47" t="str">
        <v>0.811897</v>
      </c>
      <c r="AA47" t="str">
        <v>0.000000</v>
      </c>
      <c r="AB47" t="str">
        <v>0.000000</v>
      </c>
      <c r="AC47" t="str">
        <v>0.000000</v>
      </c>
      <c r="AD47" t="str">
        <v>0.5</v>
      </c>
      <c r="AE47" t="str">
        <v>0.80</v>
      </c>
      <c r="AF47" t="str">
        <f>AC47*AD47*AE47*AQ47</f>
        <v>1.580271</v>
      </c>
      <c r="AG47" t="str">
        <v>1.000000</v>
      </c>
      <c r="AH47" t="str">
        <v>41.17</v>
      </c>
      <c r="AI47" t="str">
        <v>39.82</v>
      </c>
      <c r="AJ47" t="str">
        <v>20.23</v>
      </c>
      <c r="AK47" t="str">
        <v>15.73</v>
      </c>
      <c r="AL47" t="str">
        <f>(AK47-AJ47)*(AJ47*0+0)+AK47</f>
        <v>15.73</v>
      </c>
      <c r="AM47" t="str">
        <v>93.28</v>
      </c>
      <c r="AN47" t="str">
        <v>1.2</v>
      </c>
      <c r="AO47" t="str">
        <v>-16.0</v>
      </c>
      <c r="AP47" t="str">
        <v>1429.3</v>
      </c>
      <c r="AQ47" t="str">
        <v>5</v>
      </c>
      <c r="AR47" t="str">
        <v>3.957</v>
      </c>
      <c r="AS47" t="str">
        <v>22:28:38</v>
      </c>
      <c r="AT47" t="str">
        <v>2025-11-24</v>
      </c>
      <c r="AU47" t="str">
        <v>-9.06</v>
      </c>
      <c r="AV47" t="str">
        <v>1</v>
      </c>
      <c r="AW47" t="str">
        <v>0.000</v>
      </c>
      <c r="AX47" t="str">
        <v>0.000</v>
      </c>
      <c r="AY47" t="str">
        <v>0.001</v>
      </c>
      <c r="AZ47" t="str">
        <v>0.004</v>
      </c>
      <c r="BA47" t="str">
        <v>0.278</v>
      </c>
      <c r="BB47" t="str">
        <v>0.476</v>
      </c>
      <c r="BC47" t="str">
        <v>0</v>
      </c>
      <c r="BD47" t="str">
        <v>150</v>
      </c>
      <c r="BE47" t="str">
        <v>-9999.000</v>
      </c>
      <c r="BF47" t="str">
        <v>-9999.000000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1</v>
      </c>
      <c r="BO47" t="str">
        <v>rectangular</v>
      </c>
      <c r="BP47" t="str">
        <v>8000</v>
      </c>
      <c r="BQ47" t="str">
        <v>5</v>
      </c>
      <c r="BR47" t="str">
        <v>-9999.000000</v>
      </c>
      <c r="BS47" t="str">
        <v>-9999.000000</v>
      </c>
      <c r="BT47" t="str">
        <v>55537</v>
      </c>
      <c r="BU47" t="str">
        <v>55537</v>
      </c>
      <c r="BV47" t="str">
        <v>55537</v>
      </c>
      <c r="BW47" t="str">
        <v>0.000000</v>
      </c>
      <c r="BX47" t="str">
        <v>-9999</v>
      </c>
      <c r="BY47" t="str">
        <v>0.000000</v>
      </c>
      <c r="BZ47" t="str">
        <v>0.000000</v>
      </c>
      <c r="CA47" t="str">
        <v>0.000000</v>
      </c>
      <c r="CB47" t="str">
        <v>0.000000</v>
      </c>
      <c r="CC47" t="str">
        <v>2.473066</v>
      </c>
      <c r="CD47" t="str">
        <v>2.453958</v>
      </c>
      <c r="CE47" t="str">
        <v>0.607264</v>
      </c>
      <c r="CF47" t="str">
        <v>0.572408</v>
      </c>
      <c r="CG47" t="str">
        <v>0.330094</v>
      </c>
      <c r="CH47" t="str">
        <v>-0.048035</v>
      </c>
      <c r="CI47" t="str">
        <v>0.314908</v>
      </c>
      <c r="CJ47" t="str">
        <v>0.111237</v>
      </c>
      <c r="CK47" t="str">
        <v>99.254250</v>
      </c>
      <c r="CL47" t="str">
        <v>0.000211</v>
      </c>
      <c r="CM47" t="str">
        <v>2.405086</v>
      </c>
      <c r="CN47" t="str">
        <v>0.000013</v>
      </c>
      <c r="CO47" t="str">
        <v>1.000000</v>
      </c>
      <c r="CP47" t="str">
        <v>2.372866</v>
      </c>
      <c r="CQ47" t="str">
        <v>0.000011</v>
      </c>
      <c r="CR47" t="str">
        <v>1.000000</v>
      </c>
      <c r="CS47" t="str">
        <v>0.601157</v>
      </c>
      <c r="CT47" t="str">
        <v>0.601293</v>
      </c>
      <c r="CU47" t="str">
        <v>0.106749</v>
      </c>
      <c r="CV47" t="str">
        <v>0.000000</v>
      </c>
      <c r="CW47" t="str">
        <v>PSF-01031_20251124223708_5ae</v>
      </c>
      <c r="CX47" t="str">
        <v>PFA-00872</v>
      </c>
      <c r="CY47" t="str">
        <v>PSA-00872</v>
      </c>
      <c r="CZ47" t="str">
        <v>PSF-01031</v>
      </c>
      <c r="DA47" t="str">
        <v>RHS-0785</v>
      </c>
      <c r="DB47" t="str">
        <v>3.0.0</v>
      </c>
      <c r="DC47" t="str">
        <v>2025-07-31T17:03:34.552Z</v>
      </c>
    </row>
    <row r="48">
      <c r="A48" t="str">
        <v>45</v>
      </c>
      <c r="B48" t="str">
        <v>22:37:26</v>
      </c>
      <c r="C48" t="str">
        <v>2025-11-24</v>
      </c>
      <c r="D48" t="str">
        <v>FB_Fl_Dark_8k</v>
      </c>
      <c r="E48" t="str">
        <v>Fern</v>
      </c>
      <c r="F48" t="str">
        <v/>
      </c>
      <c r="G48" t="str">
        <v/>
      </c>
      <c r="H48" t="str">
        <v/>
      </c>
      <c r="I48" t="str">
        <v/>
      </c>
      <c r="J48" t="str">
        <f>1/((1/L48)-(1/K48))</f>
        <v>0.001011</v>
      </c>
      <c r="K48" t="str">
        <f>BH48+(BI48*AN48)+(BJ48*AN48*POWER(V48,2))+(BK48*AN48*V48)+(BL48*POWER(AN48,2))</f>
        <v>0.034210</v>
      </c>
      <c r="L48" t="str">
        <f>((M48/1000)*(1000-((T48+S48)/2)))/(T48-S48)</f>
        <v>0.000982</v>
      </c>
      <c r="M48" t="str">
        <f>(AN48*(S48-R48))/(100*U48*(1000-S48))*1000</f>
        <v>0.012562</v>
      </c>
      <c r="N48" t="str">
        <v>0.992540</v>
      </c>
      <c r="O48" t="str">
        <v>0.948897</v>
      </c>
      <c r="P48" t="str">
        <f>0.61365*EXP((17.502*AL48)/(240.97+AL48))</f>
        <v>2.165241</v>
      </c>
      <c r="Q48" t="str">
        <f>P48-N48</f>
        <v>1.172700</v>
      </c>
      <c r="R48" t="str">
        <v>10.172321</v>
      </c>
      <c r="S48" t="str">
        <v>10.640183</v>
      </c>
      <c r="T48" t="str">
        <f>(P48/AM48)*1000</f>
        <v>23.211710</v>
      </c>
      <c r="U48" t="str">
        <f>V48*BG48</f>
        <v>0.441786</v>
      </c>
      <c r="V48" t="str">
        <v>7.500000</v>
      </c>
      <c r="W48" t="str">
        <v>PSF-01031_20251124223726_7da</v>
      </c>
      <c r="X48" t="str">
        <v>79.097275</v>
      </c>
      <c r="Y48" t="str">
        <v>80.013153</v>
      </c>
      <c r="Z48" t="str">
        <v>0.011447</v>
      </c>
      <c r="AA48" t="str">
        <v>0.000000</v>
      </c>
      <c r="AB48" t="str">
        <v>0.000000</v>
      </c>
      <c r="AC48" t="str">
        <v>0.000000</v>
      </c>
      <c r="AD48" t="str">
        <v>0.5</v>
      </c>
      <c r="AE48" t="str">
        <v>0.80</v>
      </c>
      <c r="AF48" t="str">
        <f>AC48*AD48*AE48*AQ48</f>
        <v>0.022482</v>
      </c>
      <c r="AG48" t="str">
        <v>1.000000</v>
      </c>
      <c r="AH48" t="str">
        <v>41.69</v>
      </c>
      <c r="AI48" t="str">
        <v>39.85</v>
      </c>
      <c r="AJ48" t="str">
        <v>20.24</v>
      </c>
      <c r="AK48" t="str">
        <v>18.71</v>
      </c>
      <c r="AL48" t="str">
        <f>(AK48-AJ48)*(AJ48*0+0)+AK48</f>
        <v>18.71</v>
      </c>
      <c r="AM48" t="str">
        <v>93.28</v>
      </c>
      <c r="AN48" t="str">
        <v>1.2</v>
      </c>
      <c r="AO48" t="str">
        <v>-16.1</v>
      </c>
      <c r="AP48" t="str">
        <v>1470.0</v>
      </c>
      <c r="AQ48" t="str">
        <v>5</v>
      </c>
      <c r="AR48" t="str">
        <v>3.955</v>
      </c>
      <c r="AS48" t="str">
        <v>22:28:38</v>
      </c>
      <c r="AT48" t="str">
        <v>2025-11-24</v>
      </c>
      <c r="AU48" t="str">
        <v>-9.06</v>
      </c>
      <c r="AV48" t="str">
        <v>1</v>
      </c>
      <c r="AW48" t="str">
        <v>0.000</v>
      </c>
      <c r="AX48" t="str">
        <v>0.000</v>
      </c>
      <c r="AY48" t="str">
        <v>0.000</v>
      </c>
      <c r="AZ48" t="str">
        <v>-0.001</v>
      </c>
      <c r="BA48" t="str">
        <v>-0.053</v>
      </c>
      <c r="BB48" t="str">
        <v>-0.144</v>
      </c>
      <c r="BC48" t="str">
        <v>0</v>
      </c>
      <c r="BD48" t="str">
        <v>150</v>
      </c>
      <c r="BE48" t="str">
        <v>-9999.000</v>
      </c>
      <c r="BF48" t="str">
        <v>-9999.000000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1</v>
      </c>
      <c r="BO48" t="str">
        <v>rectangular</v>
      </c>
      <c r="BP48" t="str">
        <v>8000</v>
      </c>
      <c r="BQ48" t="str">
        <v>5</v>
      </c>
      <c r="BR48" t="str">
        <v>-9999.000000</v>
      </c>
      <c r="BS48" t="str">
        <v>-9999.000000</v>
      </c>
      <c r="BT48" t="str">
        <v>55537</v>
      </c>
      <c r="BU48" t="str">
        <v>55537</v>
      </c>
      <c r="BV48" t="str">
        <v>55537</v>
      </c>
      <c r="BW48" t="str">
        <v>0.000000</v>
      </c>
      <c r="BX48" t="str">
        <v>-9999</v>
      </c>
      <c r="BY48" t="str">
        <v>0.000000</v>
      </c>
      <c r="BZ48" t="str">
        <v>0.000000</v>
      </c>
      <c r="CA48" t="str">
        <v>0.000000</v>
      </c>
      <c r="CB48" t="str">
        <v>0.000000</v>
      </c>
      <c r="CC48" t="str">
        <v>2.473114</v>
      </c>
      <c r="CD48" t="str">
        <v>2.454660</v>
      </c>
      <c r="CE48" t="str">
        <v>0.607103</v>
      </c>
      <c r="CF48" t="str">
        <v>0.572307</v>
      </c>
      <c r="CG48" t="str">
        <v>0.330056</v>
      </c>
      <c r="CH48" t="str">
        <v>-0.015862</v>
      </c>
      <c r="CI48" t="str">
        <v>0.316324</v>
      </c>
      <c r="CJ48" t="str">
        <v>0.111277</v>
      </c>
      <c r="CK48" t="str">
        <v>79.097275</v>
      </c>
      <c r="CL48" t="str">
        <v>0.000215</v>
      </c>
      <c r="CM48" t="str">
        <v>2.405086</v>
      </c>
      <c r="CN48" t="str">
        <v>0.000013</v>
      </c>
      <c r="CO48" t="str">
        <v>1.000000</v>
      </c>
      <c r="CP48" t="str">
        <v>2.372866</v>
      </c>
      <c r="CQ48" t="str">
        <v>0.000011</v>
      </c>
      <c r="CR48" t="str">
        <v>1.000000</v>
      </c>
      <c r="CS48" t="str">
        <v>0.601157</v>
      </c>
      <c r="CT48" t="str">
        <v>0.601293</v>
      </c>
      <c r="CU48" t="str">
        <v>0.106749</v>
      </c>
      <c r="CV48" t="str">
        <v>0.000000</v>
      </c>
      <c r="CW48" t="str">
        <v>PSF-01031_20251124223726_7da</v>
      </c>
      <c r="CX48" t="str">
        <v>PFA-00872</v>
      </c>
      <c r="CY48" t="str">
        <v>PSA-00872</v>
      </c>
      <c r="CZ48" t="str">
        <v>PSF-01031</v>
      </c>
      <c r="DA48" t="str">
        <v>RHS-0785</v>
      </c>
      <c r="DB48" t="str">
        <v>3.0.0</v>
      </c>
      <c r="DC48" t="str">
        <v>2025-07-31T17:03:34.552Z</v>
      </c>
    </row>
  </sheetData>
  <ignoredErrors>
    <ignoredError numberStoredAsText="1" sqref="A1:D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