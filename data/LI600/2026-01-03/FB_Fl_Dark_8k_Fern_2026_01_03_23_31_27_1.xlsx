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8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23:13:09</v>
      </c>
      <c r="C4" t="str">
        <v>2026-01-03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0.000738</v>
      </c>
      <c r="K4" t="str">
        <f>BH4+(BI4*AN4)+(BJ4*AN4*POWER(V4,2))+(BK4*AN4*V4)+(BL4*POWER(AN4,2))</f>
        <v>0.033188</v>
      </c>
      <c r="L4" t="str">
        <f>((M4/1000)*(1000-((T4+S4)/2)))/(T4-S4)</f>
        <v>0.000722</v>
      </c>
      <c r="M4" t="str">
        <f>(AN4*(S4-R4))/(100*U4*(1000-S4))*1000</f>
        <v>0.008582</v>
      </c>
      <c r="N4" t="str">
        <v>0.945779</v>
      </c>
      <c r="O4" t="str">
        <v>0.915112</v>
      </c>
      <c r="P4" t="str">
        <f>0.61365*EXP((17.502*AL4)/(240.97+AL4))</f>
        <v>2.034347</v>
      </c>
      <c r="Q4" t="str">
        <f>P4-N4</f>
        <v>1.088568</v>
      </c>
      <c r="R4" t="str">
        <v>9.837347</v>
      </c>
      <c r="S4" t="str">
        <v>10.167012</v>
      </c>
      <c r="T4" t="str">
        <f>(P4/AM4)*1000</f>
        <v>21.868998</v>
      </c>
      <c r="U4" t="str">
        <f>V4*BG4</f>
        <v>0.441786</v>
      </c>
      <c r="V4" t="str">
        <v>7.500000</v>
      </c>
      <c r="W4" t="str">
        <v>PSF-01031_20260103231309_a7f</v>
      </c>
      <c r="X4" t="str">
        <v>99.573967</v>
      </c>
      <c r="Y4" t="str">
        <v>515.091797</v>
      </c>
      <c r="Z4" t="str">
        <v>0.806687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1.461143</v>
      </c>
      <c r="AG4" t="str">
        <v>1.000000</v>
      </c>
      <c r="AH4" t="str">
        <v>38.17</v>
      </c>
      <c r="AI4" t="str">
        <v>36.93</v>
      </c>
      <c r="AJ4" t="str">
        <v>20.88</v>
      </c>
      <c r="AK4" t="str">
        <v>17.71</v>
      </c>
      <c r="AL4" t="str">
        <f>(AK4-AJ4)*(AJ4*0+0)+AK4</f>
        <v>17.71</v>
      </c>
      <c r="AM4" t="str">
        <v>93.02</v>
      </c>
      <c r="AN4" t="str">
        <v>1.1</v>
      </c>
      <c r="AO4" t="str">
        <v>-15.6</v>
      </c>
      <c r="AP4" t="str">
        <v>1469.4</v>
      </c>
      <c r="AQ4" t="str">
        <v>5</v>
      </c>
      <c r="AR4" t="str">
        <v>3.762</v>
      </c>
      <c r="AS4" t="str">
        <v>23:12:57</v>
      </c>
      <c r="AT4" t="str">
        <v>2026-01-03</v>
      </c>
      <c r="AU4" t="str">
        <v>-9.53</v>
      </c>
      <c r="AV4" t="str">
        <v>1</v>
      </c>
      <c r="AW4" t="str">
        <v>0.000</v>
      </c>
      <c r="AX4" t="str">
        <v>0.000</v>
      </c>
      <c r="AY4" t="str">
        <v>0.000</v>
      </c>
      <c r="AZ4" t="str">
        <v>-0.210</v>
      </c>
      <c r="BA4" t="str">
        <v>-0.076</v>
      </c>
      <c r="BB4" t="str">
        <v>0.344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2.468680</v>
      </c>
      <c r="CD4" t="str">
        <v>2.450311</v>
      </c>
      <c r="CE4" t="str">
        <v>0.606925</v>
      </c>
      <c r="CF4" t="str">
        <v>0.573177</v>
      </c>
      <c r="CG4" t="str">
        <v>0.321604</v>
      </c>
      <c r="CH4" t="str">
        <v>-0.033945</v>
      </c>
      <c r="CI4" t="str">
        <v>0.061780</v>
      </c>
      <c r="CJ4" t="str">
        <v>0.110925</v>
      </c>
      <c r="CK4" t="str">
        <v>99.573967</v>
      </c>
      <c r="CL4" t="str">
        <v>0.000208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PSF-01031_20260103231309_a7f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23:13:28</v>
      </c>
      <c r="C5" t="str">
        <v>2026-01-03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0.001279</v>
      </c>
      <c r="K5" t="str">
        <f>BH5+(BI5*AN5)+(BJ5*AN5*POWER(V5,2))+(BK5*AN5*V5)+(BL5*POWER(AN5,2))</f>
        <v>0.034300</v>
      </c>
      <c r="L5" t="str">
        <f>((M5/1000)*(1000-((T5+S5)/2)))/(T5-S5)</f>
        <v>0.001233</v>
      </c>
      <c r="M5" t="str">
        <f>(AN5*(S5-R5))/(100*U5*(1000-S5))*1000</f>
        <v>0.018991</v>
      </c>
      <c r="N5" t="str">
        <v>0.983345</v>
      </c>
      <c r="O5" t="str">
        <v>0.917715</v>
      </c>
      <c r="P5" t="str">
        <f>0.61365*EXP((17.502*AL5)/(240.97+AL5))</f>
        <v>2.390208</v>
      </c>
      <c r="Q5" t="str">
        <f>P5-N5</f>
        <v>1.406863</v>
      </c>
      <c r="R5" t="str">
        <v>9.865495</v>
      </c>
      <c r="S5" t="str">
        <v>10.571012</v>
      </c>
      <c r="T5" t="str">
        <f>(P5/AM5)*1000</f>
        <v>25.694876</v>
      </c>
      <c r="U5" t="str">
        <f>V5*BG5</f>
        <v>0.441786</v>
      </c>
      <c r="V5" t="str">
        <v>7.500000</v>
      </c>
      <c r="W5" t="str">
        <v>PSF-01031_20260103231328_047</v>
      </c>
      <c r="X5" t="str">
        <v>103.804710</v>
      </c>
      <c r="Y5" t="str">
        <v>110.926506</v>
      </c>
      <c r="Z5" t="str">
        <v>0.064203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0.119397</v>
      </c>
      <c r="AG5" t="str">
        <v>1.000000</v>
      </c>
      <c r="AH5" t="str">
        <v>39.58</v>
      </c>
      <c r="AI5" t="str">
        <v>36.94</v>
      </c>
      <c r="AJ5" t="str">
        <v>20.92</v>
      </c>
      <c r="AK5" t="str">
        <v>20.30</v>
      </c>
      <c r="AL5" t="str">
        <f>(AK5-AJ5)*(AJ5*0+0)+AK5</f>
        <v>20.30</v>
      </c>
      <c r="AM5" t="str">
        <v>93.02</v>
      </c>
      <c r="AN5" t="str">
        <v>1.2</v>
      </c>
      <c r="AO5" t="str">
        <v>-16.1</v>
      </c>
      <c r="AP5" t="str">
        <v>1467.8</v>
      </c>
      <c r="AQ5" t="str">
        <v>5</v>
      </c>
      <c r="AR5" t="str">
        <v>3.760</v>
      </c>
      <c r="AS5" t="str">
        <v>23:12:57</v>
      </c>
      <c r="AT5" t="str">
        <v>2026-01-03</v>
      </c>
      <c r="AU5" t="str">
        <v>-9.53</v>
      </c>
      <c r="AV5" t="str">
        <v>1</v>
      </c>
      <c r="AW5" t="str">
        <v>0.000</v>
      </c>
      <c r="AX5" t="str">
        <v>0.000</v>
      </c>
      <c r="AY5" t="str">
        <v>0.000</v>
      </c>
      <c r="AZ5" t="str">
        <v>-0.054</v>
      </c>
      <c r="BA5" t="str">
        <v>-0.041</v>
      </c>
      <c r="BB5" t="str">
        <v>0.376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2.468683</v>
      </c>
      <c r="CD5" t="str">
        <v>2.452253</v>
      </c>
      <c r="CE5" t="str">
        <v>0.607119</v>
      </c>
      <c r="CF5" t="str">
        <v>0.572278</v>
      </c>
      <c r="CG5" t="str">
        <v>0.321044</v>
      </c>
      <c r="CH5" t="str">
        <v>-0.006001</v>
      </c>
      <c r="CI5" t="str">
        <v>0.064148</v>
      </c>
      <c r="CJ5" t="str">
        <v>0.111037</v>
      </c>
      <c r="CK5" t="str">
        <v>103.791832</v>
      </c>
      <c r="CL5" t="str">
        <v>0.000211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PSF-01031_20260103231328_047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23:14:01</v>
      </c>
      <c r="C6" t="str">
        <v>2026-01-03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0.000906</v>
      </c>
      <c r="K6" t="str">
        <f>BH6+(BI6*AN6)+(BJ6*AN6*POWER(V6,2))+(BK6*AN6*V6)+(BL6*POWER(AN6,2))</f>
        <v>0.033302</v>
      </c>
      <c r="L6" t="str">
        <f>((M6/1000)*(1000-((T6+S6)/2)))/(T6-S6)</f>
        <v>0.000882</v>
      </c>
      <c r="M6" t="str">
        <f>(AN6*(S6-R6))/(100*U6*(1000-S6))*1000</f>
        <v>0.015004</v>
      </c>
      <c r="N6" t="str">
        <v>0.976484</v>
      </c>
      <c r="O6" t="str">
        <v>0.923068</v>
      </c>
      <c r="P6" t="str">
        <f>0.61365*EXP((17.502*AL6)/(240.97+AL6))</f>
        <v>2.529165</v>
      </c>
      <c r="Q6" t="str">
        <f>P6-N6</f>
        <v>1.552680</v>
      </c>
      <c r="R6" t="str">
        <v>9.922048</v>
      </c>
      <c r="S6" t="str">
        <v>10.496222</v>
      </c>
      <c r="T6" t="str">
        <f>(P6/AM6)*1000</f>
        <v>27.185963</v>
      </c>
      <c r="U6" t="str">
        <f>V6*BG6</f>
        <v>0.441786</v>
      </c>
      <c r="V6" t="str">
        <v>7.500000</v>
      </c>
      <c r="W6" t="str">
        <v>PSF-01031_20260103231401_eb2</v>
      </c>
      <c r="X6" t="str">
        <v>50.344704</v>
      </c>
      <c r="Y6" t="str">
        <v>236.363052</v>
      </c>
      <c r="Z6" t="str">
        <v>0.787003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1.405469</v>
      </c>
      <c r="AG6" t="str">
        <v>1.000000</v>
      </c>
      <c r="AH6" t="str">
        <v>39.12</v>
      </c>
      <c r="AI6" t="str">
        <v>36.98</v>
      </c>
      <c r="AJ6" t="str">
        <v>21.00</v>
      </c>
      <c r="AK6" t="str">
        <v>21.22</v>
      </c>
      <c r="AL6" t="str">
        <f>(AK6-AJ6)*(AJ6*0+0)+AK6</f>
        <v>21.22</v>
      </c>
      <c r="AM6" t="str">
        <v>93.03</v>
      </c>
      <c r="AN6" t="str">
        <v>1.1</v>
      </c>
      <c r="AO6" t="str">
        <v>-15.8</v>
      </c>
      <c r="AP6" t="str">
        <v>1483.8</v>
      </c>
      <c r="AQ6" t="str">
        <v>4</v>
      </c>
      <c r="AR6" t="str">
        <v>3.759</v>
      </c>
      <c r="AS6" t="str">
        <v>23:12:57</v>
      </c>
      <c r="AT6" t="str">
        <v>2026-01-03</v>
      </c>
      <c r="AU6" t="str">
        <v>-9.53</v>
      </c>
      <c r="AV6" t="str">
        <v>1</v>
      </c>
      <c r="AW6" t="str">
        <v>0.000</v>
      </c>
      <c r="AX6" t="str">
        <v>0.000</v>
      </c>
      <c r="AY6" t="str">
        <v>0.000</v>
      </c>
      <c r="AZ6" t="str">
        <v>0.068</v>
      </c>
      <c r="BA6" t="str">
        <v>0.187</v>
      </c>
      <c r="BB6" t="str">
        <v>0.237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2.468731</v>
      </c>
      <c r="CD6" t="str">
        <v>2.451600</v>
      </c>
      <c r="CE6" t="str">
        <v>0.606945</v>
      </c>
      <c r="CF6" t="str">
        <v>0.572787</v>
      </c>
      <c r="CG6" t="str">
        <v>0.320055</v>
      </c>
      <c r="CH6" t="str">
        <v>0.003425</v>
      </c>
      <c r="CI6" t="str">
        <v>0.068154</v>
      </c>
      <c r="CJ6" t="str">
        <v>0.110866</v>
      </c>
      <c r="CK6" t="str">
        <v>50.344704</v>
      </c>
      <c r="CL6" t="str">
        <v>0.000210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PSF-01031_20260103231401_eb2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23:14:34</v>
      </c>
      <c r="C7" t="str">
        <v>2026-01-03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0.000157</v>
      </c>
      <c r="K7" t="str">
        <f>BH7+(BI7*AN7)+(BJ7*AN7*POWER(V7,2))+(BK7*AN7*V7)+(BL7*POWER(AN7,2))</f>
        <v>0.034263</v>
      </c>
      <c r="L7" t="str">
        <f>((M7/1000)*(1000-((T7+S7)/2)))/(T7-S7)</f>
        <v>0.000156</v>
      </c>
      <c r="M7" t="str">
        <f>(AN7*(S7-R7))/(100*U7*(1000-S7))*1000</f>
        <v>0.002872</v>
      </c>
      <c r="N7" t="str">
        <v>0.938236</v>
      </c>
      <c r="O7" t="str">
        <v>0.928296</v>
      </c>
      <c r="P7" t="str">
        <f>0.61365*EXP((17.502*AL7)/(240.97+AL7))</f>
        <v>2.620203</v>
      </c>
      <c r="Q7" t="str">
        <f>P7-N7</f>
        <v>1.681967</v>
      </c>
      <c r="R7" t="str">
        <v>9.979689</v>
      </c>
      <c r="S7" t="str">
        <v>10.086556</v>
      </c>
      <c r="T7" t="str">
        <f>(P7/AM7)*1000</f>
        <v>28.168625</v>
      </c>
      <c r="U7" t="str">
        <f>V7*BG7</f>
        <v>0.441786</v>
      </c>
      <c r="V7" t="str">
        <v>7.500000</v>
      </c>
      <c r="W7" t="str">
        <v>PSF-01031_20260103231434_c44</v>
      </c>
      <c r="X7" t="str">
        <v>84.614037</v>
      </c>
      <c r="Y7" t="str">
        <v>361.233459</v>
      </c>
      <c r="Z7" t="str">
        <v>0.765764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0.873769</v>
      </c>
      <c r="AG7" t="str">
        <v>1.000000</v>
      </c>
      <c r="AH7" t="str">
        <v>37.40</v>
      </c>
      <c r="AI7" t="str">
        <v>37.01</v>
      </c>
      <c r="AJ7" t="str">
        <v>21.08</v>
      </c>
      <c r="AK7" t="str">
        <v>21.79</v>
      </c>
      <c r="AL7" t="str">
        <f>(AK7-AJ7)*(AJ7*0+0)+AK7</f>
        <v>21.79</v>
      </c>
      <c r="AM7" t="str">
        <v>93.02</v>
      </c>
      <c r="AN7" t="str">
        <v>1.2</v>
      </c>
      <c r="AO7" t="str">
        <v>-15.9</v>
      </c>
      <c r="AP7" t="str">
        <v>1456.6</v>
      </c>
      <c r="AQ7" t="str">
        <v>3</v>
      </c>
      <c r="AR7" t="str">
        <v>3.740</v>
      </c>
      <c r="AS7" t="str">
        <v>23:12:57</v>
      </c>
      <c r="AT7" t="str">
        <v>2026-01-03</v>
      </c>
      <c r="AU7" t="str">
        <v>-9.53</v>
      </c>
      <c r="AV7" t="str">
        <v>1</v>
      </c>
      <c r="AW7" t="str">
        <v>-0.000</v>
      </c>
      <c r="AX7" t="str">
        <v>-0.000</v>
      </c>
      <c r="AY7" t="str">
        <v>-0.000</v>
      </c>
      <c r="AZ7" t="str">
        <v>0.619</v>
      </c>
      <c r="BA7" t="str">
        <v>0.465</v>
      </c>
      <c r="BB7" t="str">
        <v>0.702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2.468759</v>
      </c>
      <c r="CD7" t="str">
        <v>2.449205</v>
      </c>
      <c r="CE7" t="str">
        <v>0.607112</v>
      </c>
      <c r="CF7" t="str">
        <v>0.572542</v>
      </c>
      <c r="CG7" t="str">
        <v>0.319025</v>
      </c>
      <c r="CH7" t="str">
        <v>0.009049</v>
      </c>
      <c r="CI7" t="str">
        <v>0.072112</v>
      </c>
      <c r="CJ7" t="str">
        <v>0.109380</v>
      </c>
      <c r="CK7" t="str">
        <v>84.100845</v>
      </c>
      <c r="CL7" t="str">
        <v>0.000209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PSF-01031_20260103231434_c44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23:20:14</v>
      </c>
      <c r="C8" t="str">
        <v>2026-01-03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-0.001440</v>
      </c>
      <c r="K8" t="str">
        <f>BH8+(BI8*AN8)+(BJ8*AN8*POWER(V8,2))+(BK8*AN8*V8)+(BL8*POWER(AN8,2))</f>
        <v>0.033947</v>
      </c>
      <c r="L8" t="str">
        <f>((M8/1000)*(1000-((T8+S8)/2)))/(T8-S8)</f>
        <v>-0.001504</v>
      </c>
      <c r="M8" t="str">
        <f>(AN8*(S8-R8))/(100*U8*(1000-S8))*1000</f>
        <v>-0.020193</v>
      </c>
      <c r="N8" t="str">
        <v>0.921907</v>
      </c>
      <c r="O8" t="str">
        <v>0.992472</v>
      </c>
      <c r="P8" t="str">
        <f>0.61365*EXP((17.502*AL8)/(240.97+AL8))</f>
        <v>2.150163</v>
      </c>
      <c r="Q8" t="str">
        <f>P8-N8</f>
        <v>1.228256</v>
      </c>
      <c r="R8" t="str">
        <v>10.667667</v>
      </c>
      <c r="S8" t="str">
        <v>9.909202</v>
      </c>
      <c r="T8" t="str">
        <f>(P8/AM8)*1000</f>
        <v>23.111216</v>
      </c>
      <c r="U8" t="str">
        <f>V8*BG8</f>
        <v>0.441786</v>
      </c>
      <c r="V8" t="str">
        <v>7.500000</v>
      </c>
      <c r="W8" t="str">
        <v>PSF-01031_20260103232014_832</v>
      </c>
      <c r="X8" t="str">
        <v>88.673470</v>
      </c>
      <c r="Y8" t="str">
        <v>422.194366</v>
      </c>
      <c r="Z8" t="str">
        <v>0.789970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1.372660</v>
      </c>
      <c r="AG8" t="str">
        <v>1.000000</v>
      </c>
      <c r="AH8" t="str">
        <v>34.75</v>
      </c>
      <c r="AI8" t="str">
        <v>37.41</v>
      </c>
      <c r="AJ8" t="str">
        <v>22.00</v>
      </c>
      <c r="AK8" t="str">
        <v>18.60</v>
      </c>
      <c r="AL8" t="str">
        <f>(AK8-AJ8)*(AJ8*0+0)+AK8</f>
        <v>18.60</v>
      </c>
      <c r="AM8" t="str">
        <v>93.04</v>
      </c>
      <c r="AN8" t="str">
        <v>1.2</v>
      </c>
      <c r="AO8" t="str">
        <v>-16.0</v>
      </c>
      <c r="AP8" t="str">
        <v>1475.8</v>
      </c>
      <c r="AQ8" t="str">
        <v>4</v>
      </c>
      <c r="AR8" t="str">
        <v>3.739</v>
      </c>
      <c r="AS8" t="str">
        <v>23:12:57</v>
      </c>
      <c r="AT8" t="str">
        <v>2026-01-03</v>
      </c>
      <c r="AU8" t="str">
        <v>-9.53</v>
      </c>
      <c r="AV8" t="str">
        <v>1</v>
      </c>
      <c r="AW8" t="str">
        <v>-0.000</v>
      </c>
      <c r="AX8" t="str">
        <v>-0.000</v>
      </c>
      <c r="AY8" t="str">
        <v>-0.000</v>
      </c>
      <c r="AZ8" t="str">
        <v>-0.195</v>
      </c>
      <c r="BA8" t="str">
        <v>-0.593</v>
      </c>
      <c r="BB8" t="str">
        <v>-0.372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2.469225</v>
      </c>
      <c r="CD8" t="str">
        <v>2.445334</v>
      </c>
      <c r="CE8" t="str">
        <v>0.607057</v>
      </c>
      <c r="CF8" t="str">
        <v>0.572406</v>
      </c>
      <c r="CG8" t="str">
        <v>0.307537</v>
      </c>
      <c r="CH8" t="str">
        <v>-0.036903</v>
      </c>
      <c r="CI8" t="str">
        <v>0.110463</v>
      </c>
      <c r="CJ8" t="str">
        <v>0.110755</v>
      </c>
      <c r="CK8" t="str">
        <v>88.673470</v>
      </c>
      <c r="CL8" t="str">
        <v>0.000210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PSF-01031_20260103232014_832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23:20:43</v>
      </c>
      <c r="C9" t="str">
        <v>2026-01-03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-0.001237</v>
      </c>
      <c r="K9" t="str">
        <f>BH9+(BI9*AN9)+(BJ9*AN9*POWER(V9,2))+(BK9*AN9*V9)+(BL9*POWER(AN9,2))</f>
        <v>0.032885</v>
      </c>
      <c r="L9" t="str">
        <f>((M9/1000)*(1000-((T9+S9)/2)))/(T9-S9)</f>
        <v>-0.001286</v>
      </c>
      <c r="M9" t="str">
        <f>(AN9*(S9-R9))/(100*U9*(1000-S9))*1000</f>
        <v>-0.022959</v>
      </c>
      <c r="N9" t="str">
        <v>0.914844</v>
      </c>
      <c r="O9" t="str">
        <v>0.997670</v>
      </c>
      <c r="P9" t="str">
        <f>0.61365*EXP((17.502*AL9)/(240.97+AL9))</f>
        <v>2.545323</v>
      </c>
      <c r="Q9" t="str">
        <f>P9-N9</f>
        <v>1.630480</v>
      </c>
      <c r="R9" t="str">
        <v>10.724727</v>
      </c>
      <c r="S9" t="str">
        <v>9.834358</v>
      </c>
      <c r="T9" t="str">
        <f>(P9/AM9)*1000</f>
        <v>27.361639</v>
      </c>
      <c r="U9" t="str">
        <f>V9*BG9</f>
        <v>0.441786</v>
      </c>
      <c r="V9" t="str">
        <v>7.500000</v>
      </c>
      <c r="W9" t="str">
        <v>PSF-01031_20260103232043_ecc</v>
      </c>
      <c r="X9" t="str">
        <v>45.395134</v>
      </c>
      <c r="Y9" t="str">
        <v>44.911980</v>
      </c>
      <c r="Z9" t="str">
        <v>-0.010758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-0.019669</v>
      </c>
      <c r="AG9" t="str">
        <v>1.000000</v>
      </c>
      <c r="AH9" t="str">
        <v>34.36</v>
      </c>
      <c r="AI9" t="str">
        <v>37.47</v>
      </c>
      <c r="AJ9" t="str">
        <v>22.06</v>
      </c>
      <c r="AK9" t="str">
        <v>21.32</v>
      </c>
      <c r="AL9" t="str">
        <f>(AK9-AJ9)*(AJ9*0+0)+AK9</f>
        <v>21.32</v>
      </c>
      <c r="AM9" t="str">
        <v>93.03</v>
      </c>
      <c r="AN9" t="str">
        <v>1.1</v>
      </c>
      <c r="AO9" t="str">
        <v>-15.9</v>
      </c>
      <c r="AP9" t="str">
        <v>1509.2</v>
      </c>
      <c r="AQ9" t="str">
        <v>5</v>
      </c>
      <c r="AR9" t="str">
        <v>3.737</v>
      </c>
      <c r="AS9" t="str">
        <v>23:12:57</v>
      </c>
      <c r="AT9" t="str">
        <v>2026-01-03</v>
      </c>
      <c r="AU9" t="str">
        <v>-9.53</v>
      </c>
      <c r="AV9" t="str">
        <v>1</v>
      </c>
      <c r="AW9" t="str">
        <v>0.000</v>
      </c>
      <c r="AX9" t="str">
        <v>0.000</v>
      </c>
      <c r="AY9" t="str">
        <v>0.000</v>
      </c>
      <c r="AZ9" t="str">
        <v>-0.392</v>
      </c>
      <c r="BA9" t="str">
        <v>-0.015</v>
      </c>
      <c r="BB9" t="str">
        <v>0.013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2.469306</v>
      </c>
      <c r="CD9" t="str">
        <v>2.444776</v>
      </c>
      <c r="CE9" t="str">
        <v>0.606872</v>
      </c>
      <c r="CF9" t="str">
        <v>0.572631</v>
      </c>
      <c r="CG9" t="str">
        <v>0.306808</v>
      </c>
      <c r="CH9" t="str">
        <v>-0.007366</v>
      </c>
      <c r="CI9" t="str">
        <v>0.113478</v>
      </c>
      <c r="CJ9" t="str">
        <v>0.110964</v>
      </c>
      <c r="CK9" t="str">
        <v>45.395134</v>
      </c>
      <c r="CL9" t="str">
        <v>0.000214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PSF-01031_20260103232043_ecc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23:21:13</v>
      </c>
      <c r="C10" t="str">
        <v>2026-01-03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-0.000215</v>
      </c>
      <c r="K10" t="str">
        <f>BH10+(BI10*AN10)+(BJ10*AN10*POWER(V10,2))+(BK10*AN10*V10)+(BL10*POWER(AN10,2))</f>
        <v>0.034226</v>
      </c>
      <c r="L10" t="str">
        <f>((M10/1000)*(1000-((T10+S10)/2)))/(T10-S10)</f>
        <v>-0.000216</v>
      </c>
      <c r="M10" t="str">
        <f>(AN10*(S10-R10))/(100*U10*(1000-S10))*1000</f>
        <v>-0.003385</v>
      </c>
      <c r="N10" t="str">
        <v>0.991394</v>
      </c>
      <c r="O10" t="str">
        <v>1.003116</v>
      </c>
      <c r="P10" t="str">
        <f>0.61365*EXP((17.502*AL10)/(240.97+AL10))</f>
        <v>2.421502</v>
      </c>
      <c r="Q10" t="str">
        <f>P10-N10</f>
        <v>1.430108</v>
      </c>
      <c r="R10" t="str">
        <v>10.783232</v>
      </c>
      <c r="S10" t="str">
        <v>10.657228</v>
      </c>
      <c r="T10" t="str">
        <f>(P10/AM10)*1000</f>
        <v>26.030516</v>
      </c>
      <c r="U10" t="str">
        <f>V10*BG10</f>
        <v>0.441786</v>
      </c>
      <c r="V10" t="str">
        <v>7.500000</v>
      </c>
      <c r="W10" t="str">
        <v>PSF-01031_20260103232113_dfb</v>
      </c>
      <c r="X10" t="str">
        <v>89.570045</v>
      </c>
      <c r="Y10" t="str">
        <v>429.007538</v>
      </c>
      <c r="Z10" t="str">
        <v>0.791216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1.290265</v>
      </c>
      <c r="AG10" t="str">
        <v>1.000000</v>
      </c>
      <c r="AH10" t="str">
        <v>37.07</v>
      </c>
      <c r="AI10" t="str">
        <v>37.51</v>
      </c>
      <c r="AJ10" t="str">
        <v>22.13</v>
      </c>
      <c r="AK10" t="str">
        <v>20.51</v>
      </c>
      <c r="AL10" t="str">
        <f>(AK10-AJ10)*(AJ10*0+0)+AK10</f>
        <v>20.51</v>
      </c>
      <c r="AM10" t="str">
        <v>93.03</v>
      </c>
      <c r="AN10" t="str">
        <v>1.2</v>
      </c>
      <c r="AO10" t="str">
        <v>-15.8</v>
      </c>
      <c r="AP10" t="str">
        <v>1444.5</v>
      </c>
      <c r="AQ10" t="str">
        <v>4</v>
      </c>
      <c r="AR10" t="str">
        <v>3.726</v>
      </c>
      <c r="AS10" t="str">
        <v>23:12:57</v>
      </c>
      <c r="AT10" t="str">
        <v>2026-01-03</v>
      </c>
      <c r="AU10" t="str">
        <v>-9.53</v>
      </c>
      <c r="AV10" t="str">
        <v>1</v>
      </c>
      <c r="AW10" t="str">
        <v>0.000</v>
      </c>
      <c r="AX10" t="str">
        <v>0.000</v>
      </c>
      <c r="AY10" t="str">
        <v>0.000</v>
      </c>
      <c r="AZ10" t="str">
        <v>0.197</v>
      </c>
      <c r="BA10" t="str">
        <v>0.189</v>
      </c>
      <c r="BB10" t="str">
        <v>0.252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2.469352</v>
      </c>
      <c r="CD10" t="str">
        <v>2.448540</v>
      </c>
      <c r="CE10" t="str">
        <v>0.607106</v>
      </c>
      <c r="CF10" t="str">
        <v>0.572826</v>
      </c>
      <c r="CG10" t="str">
        <v>0.305916</v>
      </c>
      <c r="CH10" t="str">
        <v>-0.017279</v>
      </c>
      <c r="CI10" t="str">
        <v>0.116553</v>
      </c>
      <c r="CJ10" t="str">
        <v>0.110509</v>
      </c>
      <c r="CK10" t="str">
        <v>89.570045</v>
      </c>
      <c r="CL10" t="str">
        <v>0.000212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PSF-01031_20260103232113_dfb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  <row r="11">
      <c r="A11" t="str">
        <v>8</v>
      </c>
      <c r="B11" t="str">
        <v>23:26:11</v>
      </c>
      <c r="C11" t="str">
        <v>2026-01-03</v>
      </c>
      <c r="D11" t="str">
        <v>FB_Fl_Dark_8k</v>
      </c>
      <c r="E11" t="str">
        <v>Fern</v>
      </c>
      <c r="F11" t="str">
        <v/>
      </c>
      <c r="G11" t="str">
        <v/>
      </c>
      <c r="H11" t="str">
        <v/>
      </c>
      <c r="I11" t="str">
        <v/>
      </c>
      <c r="J11" t="str">
        <f>1/((1/L11)-(1/K11))</f>
        <v>0.002171</v>
      </c>
      <c r="K11" t="str">
        <f>BH11+(BI11*AN11)+(BJ11*AN11*POWER(V11,2))+(BK11*AN11*V11)+(BL11*POWER(AN11,2))</f>
        <v>0.034887</v>
      </c>
      <c r="L11" t="str">
        <f>((M11/1000)*(1000-((T11+S11)/2)))/(T11-S11)</f>
        <v>0.002044</v>
      </c>
      <c r="M11" t="str">
        <f>(AN11*(S11-R11))/(100*U11*(1000-S11))*1000</f>
        <v>0.028484</v>
      </c>
      <c r="N11" t="str">
        <v>1.147379</v>
      </c>
      <c r="O11" t="str">
        <v>1.050780</v>
      </c>
      <c r="P11" t="str">
        <f>0.61365*EXP((17.502*AL11)/(240.97+AL11))</f>
        <v>2.418926</v>
      </c>
      <c r="Q11" t="str">
        <f>P11-N11</f>
        <v>1.271547</v>
      </c>
      <c r="R11" t="str">
        <v>11.296127</v>
      </c>
      <c r="S11" t="str">
        <v>12.334587</v>
      </c>
      <c r="T11" t="str">
        <f>(P11/AM11)*1000</f>
        <v>26.004013</v>
      </c>
      <c r="U11" t="str">
        <f>V11*BG11</f>
        <v>0.441786</v>
      </c>
      <c r="V11" t="str">
        <v>7.500000</v>
      </c>
      <c r="W11" t="str">
        <v>PSF-01031_20260103232611_adf</v>
      </c>
      <c r="X11" t="str">
        <v>27.649998</v>
      </c>
      <c r="Y11" t="str">
        <v>125.833511</v>
      </c>
      <c r="Z11" t="str">
        <v>0.780265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0.749437</v>
      </c>
      <c r="AG11" t="str">
        <v>1.000000</v>
      </c>
      <c r="AH11" t="str">
        <v>41.12</v>
      </c>
      <c r="AI11" t="str">
        <v>37.66</v>
      </c>
      <c r="AJ11" t="str">
        <v>22.83</v>
      </c>
      <c r="AK11" t="str">
        <v>20.49</v>
      </c>
      <c r="AL11" t="str">
        <f>(AK11-AJ11)*(AJ11*0+0)+AK11</f>
        <v>20.49</v>
      </c>
      <c r="AM11" t="str">
        <v>93.02</v>
      </c>
      <c r="AN11" t="str">
        <v>1.2</v>
      </c>
      <c r="AO11" t="str">
        <v>-15.9</v>
      </c>
      <c r="AP11" t="str">
        <v>1431.8</v>
      </c>
      <c r="AQ11" t="str">
        <v>2</v>
      </c>
      <c r="AR11" t="str">
        <v>3.723</v>
      </c>
      <c r="AS11" t="str">
        <v>23:25:41</v>
      </c>
      <c r="AT11" t="str">
        <v>2026-01-03</v>
      </c>
      <c r="AU11" t="str">
        <v>-1.87</v>
      </c>
      <c r="AV11" t="str">
        <v>1</v>
      </c>
      <c r="AW11" t="str">
        <v>-0.000</v>
      </c>
      <c r="AX11" t="str">
        <v>0.000</v>
      </c>
      <c r="AY11" t="str">
        <v>0.000</v>
      </c>
      <c r="AZ11" t="str">
        <v>-0.362</v>
      </c>
      <c r="BA11" t="str">
        <v>-0.754</v>
      </c>
      <c r="BB11" t="str">
        <v>-0.586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8000</v>
      </c>
      <c r="BQ11" t="str">
        <v>5</v>
      </c>
      <c r="BR11" t="str">
        <v>-9999.000000</v>
      </c>
      <c r="BS11" t="str">
        <v>-9999.000000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2.469471</v>
      </c>
      <c r="CD11" t="str">
        <v>2.443386</v>
      </c>
      <c r="CE11" t="str">
        <v>0.607221</v>
      </c>
      <c r="CF11" t="str">
        <v>0.572552</v>
      </c>
      <c r="CG11" t="str">
        <v>0.297483</v>
      </c>
      <c r="CH11" t="str">
        <v>-0.025423</v>
      </c>
      <c r="CI11" t="str">
        <v>0.147347</v>
      </c>
      <c r="CJ11" t="str">
        <v>0.108963</v>
      </c>
      <c r="CK11" t="str">
        <v>27.649998</v>
      </c>
      <c r="CL11" t="str">
        <v>0.000214</v>
      </c>
      <c r="CM11" t="str">
        <v>2.405086</v>
      </c>
      <c r="CN11" t="str">
        <v>0.000013</v>
      </c>
      <c r="CO11" t="str">
        <v>1.000000</v>
      </c>
      <c r="CP11" t="str">
        <v>2.372866</v>
      </c>
      <c r="CQ11" t="str">
        <v>0.000011</v>
      </c>
      <c r="CR11" t="str">
        <v>1.000000</v>
      </c>
      <c r="CS11" t="str">
        <v>0.601157</v>
      </c>
      <c r="CT11" t="str">
        <v>0.601293</v>
      </c>
      <c r="CU11" t="str">
        <v>0.106749</v>
      </c>
      <c r="CV11" t="str">
        <v>0.000000</v>
      </c>
      <c r="CW11" t="str">
        <v>PSF-01031_20260103232611_adf</v>
      </c>
      <c r="CX11" t="str">
        <v>PFA-00872</v>
      </c>
      <c r="CY11" t="str">
        <v>PSA-00872</v>
      </c>
      <c r="CZ11" t="str">
        <v>PSF-01031</v>
      </c>
      <c r="DA11" t="str">
        <v>RHS-0785</v>
      </c>
      <c r="DB11" t="str">
        <v>3.0.0</v>
      </c>
      <c r="DC11" t="str">
        <v>2025-07-31T17:03:34.552Z</v>
      </c>
    </row>
    <row r="12">
      <c r="A12" t="str">
        <v>9</v>
      </c>
      <c r="B12" t="str">
        <v>23:26:44</v>
      </c>
      <c r="C12" t="str">
        <v>2026-01-03</v>
      </c>
      <c r="D12" t="str">
        <v>FB_Fl_Dark_8k</v>
      </c>
      <c r="E12" t="str">
        <v>Fern</v>
      </c>
      <c r="F12" t="str">
        <v/>
      </c>
      <c r="G12" t="str">
        <v/>
      </c>
      <c r="H12" t="str">
        <v/>
      </c>
      <c r="I12" t="str">
        <v/>
      </c>
      <c r="J12" t="str">
        <f>1/((1/L12)-(1/K12))</f>
        <v>0.008194</v>
      </c>
      <c r="K12" t="str">
        <f>BH12+(BI12*AN12)+(BJ12*AN12*POWER(V12,2))+(BK12*AN12*V12)+(BL12*POWER(AN12,2))</f>
        <v>0.036023</v>
      </c>
      <c r="L12" t="str">
        <f>((M12/1000)*(1000-((T12+S12)/2)))/(T12-S12)</f>
        <v>0.006675</v>
      </c>
      <c r="M12" t="str">
        <f>(AN12*(S12-R12))/(100*U12*(1000-S12))*1000</f>
        <v>0.070056</v>
      </c>
      <c r="N12" t="str">
        <v>1.284577</v>
      </c>
      <c r="O12" t="str">
        <v>1.054849</v>
      </c>
      <c r="P12" t="str">
        <f>0.61365*EXP((17.502*AL12)/(240.97+AL12))</f>
        <v>2.242315</v>
      </c>
      <c r="Q12" t="str">
        <f>P12-N12</f>
        <v>0.957737</v>
      </c>
      <c r="R12" t="str">
        <v>11.339781</v>
      </c>
      <c r="S12" t="str">
        <v>13.809391</v>
      </c>
      <c r="T12" t="str">
        <f>(P12/AM12)*1000</f>
        <v>24.105206</v>
      </c>
      <c r="U12" t="str">
        <f>V12*BG12</f>
        <v>0.441786</v>
      </c>
      <c r="V12" t="str">
        <v>7.500000</v>
      </c>
      <c r="W12" t="str">
        <v>PSF-01031_20260103232644_bcd</v>
      </c>
      <c r="X12" t="str">
        <v>54.117321</v>
      </c>
      <c r="Y12" t="str">
        <v>124.357582</v>
      </c>
      <c r="Z12" t="str">
        <v>0.564825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0.261099</v>
      </c>
      <c r="AG12" t="str">
        <v>1.000000</v>
      </c>
      <c r="AH12" t="str">
        <v>45.90</v>
      </c>
      <c r="AI12" t="str">
        <v>37.69</v>
      </c>
      <c r="AJ12" t="str">
        <v>22.88</v>
      </c>
      <c r="AK12" t="str">
        <v>19.27</v>
      </c>
      <c r="AL12" t="str">
        <f>(AK12-AJ12)*(AJ12*0+0)+AK12</f>
        <v>19.27</v>
      </c>
      <c r="AM12" t="str">
        <v>93.02</v>
      </c>
      <c r="AN12" t="str">
        <v>1.2</v>
      </c>
      <c r="AO12" t="str">
        <v>-15.9</v>
      </c>
      <c r="AP12" t="str">
        <v>1389.7</v>
      </c>
      <c r="AQ12" t="str">
        <v>1</v>
      </c>
      <c r="AR12" t="str">
        <v>3.715</v>
      </c>
      <c r="AS12" t="str">
        <v>23:25:41</v>
      </c>
      <c r="AT12" t="str">
        <v>2026-01-03</v>
      </c>
      <c r="AU12" t="str">
        <v>-1.87</v>
      </c>
      <c r="AV12" t="str">
        <v>1</v>
      </c>
      <c r="AW12" t="str">
        <v>0.000</v>
      </c>
      <c r="AX12" t="str">
        <v>0.000</v>
      </c>
      <c r="AY12" t="str">
        <v>0.003</v>
      </c>
      <c r="AZ12" t="str">
        <v>0.186</v>
      </c>
      <c r="BA12" t="str">
        <v>0.225</v>
      </c>
      <c r="BB12" t="str">
        <v>0.044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8000</v>
      </c>
      <c r="BQ12" t="str">
        <v>5</v>
      </c>
      <c r="BR12" t="str">
        <v>-9999.000000</v>
      </c>
      <c r="BS12" t="str">
        <v>-9999.000000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2.469505</v>
      </c>
      <c r="CD12" t="str">
        <v>2.450013</v>
      </c>
      <c r="CE12" t="str">
        <v>0.607420</v>
      </c>
      <c r="CF12" t="str">
        <v>0.572553</v>
      </c>
      <c r="CG12" t="str">
        <v>0.296871</v>
      </c>
      <c r="CH12" t="str">
        <v>-0.039543</v>
      </c>
      <c r="CI12" t="str">
        <v>0.150591</v>
      </c>
      <c r="CJ12" t="str">
        <v>0.107815</v>
      </c>
      <c r="CK12" t="str">
        <v>54.117321</v>
      </c>
      <c r="CL12" t="str">
        <v>0.000214</v>
      </c>
      <c r="CM12" t="str">
        <v>2.405086</v>
      </c>
      <c r="CN12" t="str">
        <v>0.000013</v>
      </c>
      <c r="CO12" t="str">
        <v>1.000000</v>
      </c>
      <c r="CP12" t="str">
        <v>2.372866</v>
      </c>
      <c r="CQ12" t="str">
        <v>0.000011</v>
      </c>
      <c r="CR12" t="str">
        <v>1.000000</v>
      </c>
      <c r="CS12" t="str">
        <v>0.601157</v>
      </c>
      <c r="CT12" t="str">
        <v>0.601293</v>
      </c>
      <c r="CU12" t="str">
        <v>0.106749</v>
      </c>
      <c r="CV12" t="str">
        <v>0.000000</v>
      </c>
      <c r="CW12" t="str">
        <v>PSF-01031_20260103232644_bcd</v>
      </c>
      <c r="CX12" t="str">
        <v>PFA-00872</v>
      </c>
      <c r="CY12" t="str">
        <v>PSA-00872</v>
      </c>
      <c r="CZ12" t="str">
        <v>PSF-01031</v>
      </c>
      <c r="DA12" t="str">
        <v>RHS-0785</v>
      </c>
      <c r="DB12" t="str">
        <v>3.0.0</v>
      </c>
      <c r="DC12" t="str">
        <v>2025-07-31T17:03:34.552Z</v>
      </c>
    </row>
    <row r="13">
      <c r="A13" t="str">
        <v>10</v>
      </c>
      <c r="B13" t="str">
        <v>23:29:52</v>
      </c>
      <c r="C13" t="str">
        <v>2026-01-03</v>
      </c>
      <c r="D13" t="str">
        <v>FB_Fl_Dark_8k</v>
      </c>
      <c r="E13" t="str">
        <v>Fern</v>
      </c>
      <c r="F13" t="str">
        <v/>
      </c>
      <c r="G13" t="str">
        <v/>
      </c>
      <c r="H13" t="str">
        <v/>
      </c>
      <c r="I13" t="str">
        <v/>
      </c>
      <c r="J13" t="str">
        <f>1/((1/L13)-(1/K13))</f>
        <v>0.002702</v>
      </c>
      <c r="K13" t="str">
        <f>BH13+(BI13*AN13)+(BJ13*AN13*POWER(V13,2))+(BK13*AN13*V13)+(BL13*POWER(AN13,2))</f>
        <v>0.033284</v>
      </c>
      <c r="L13" t="str">
        <f>((M13/1000)*(1000-((T13+S13)/2)))/(T13-S13)</f>
        <v>0.002499</v>
      </c>
      <c r="M13" t="str">
        <f>(AN13*(S13-R13))/(100*U13*(1000-S13))*1000</f>
        <v>0.024561</v>
      </c>
      <c r="N13" t="str">
        <v>1.167156</v>
      </c>
      <c r="O13" t="str">
        <v>1.079857</v>
      </c>
      <c r="P13" t="str">
        <f>0.61365*EXP((17.502*AL13)/(240.97+AL13))</f>
        <v>2.065614</v>
      </c>
      <c r="Q13" t="str">
        <f>P13-N13</f>
        <v>0.898458</v>
      </c>
      <c r="R13" t="str">
        <v>11.608842</v>
      </c>
      <c r="S13" t="str">
        <v>12.547334</v>
      </c>
      <c r="T13" t="str">
        <f>(P13/AM13)*1000</f>
        <v>22.206070</v>
      </c>
      <c r="U13" t="str">
        <f>V13*BG13</f>
        <v>0.441786</v>
      </c>
      <c r="V13" t="str">
        <v>7.500000</v>
      </c>
      <c r="W13" t="str">
        <v>PSF-01031_20260103232952_7f9</v>
      </c>
      <c r="X13" t="str">
        <v>95.350388</v>
      </c>
      <c r="Y13" t="str">
        <v>480.092896</v>
      </c>
      <c r="Z13" t="str">
        <v>0.801392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1.092305</v>
      </c>
      <c r="AG13" t="str">
        <v>1.000000</v>
      </c>
      <c r="AH13" t="str">
        <v>40.89</v>
      </c>
      <c r="AI13" t="str">
        <v>37.83</v>
      </c>
      <c r="AJ13" t="str">
        <v>23.20</v>
      </c>
      <c r="AK13" t="str">
        <v>17.96</v>
      </c>
      <c r="AL13" t="str">
        <f>(AK13-AJ13)*(AJ13*0+0)+AK13</f>
        <v>17.96</v>
      </c>
      <c r="AM13" t="str">
        <v>93.02</v>
      </c>
      <c r="AN13" t="str">
        <v>1.1</v>
      </c>
      <c r="AO13" t="str">
        <v>-15.8</v>
      </c>
      <c r="AP13" t="str">
        <v>1484.5</v>
      </c>
      <c r="AQ13" t="str">
        <v>3</v>
      </c>
      <c r="AR13" t="str">
        <v>3.714</v>
      </c>
      <c r="AS13" t="str">
        <v>23:25:41</v>
      </c>
      <c r="AT13" t="str">
        <v>2026-01-03</v>
      </c>
      <c r="AU13" t="str">
        <v>-1.87</v>
      </c>
      <c r="AV13" t="str">
        <v>1</v>
      </c>
      <c r="AW13" t="str">
        <v>0.000</v>
      </c>
      <c r="AX13" t="str">
        <v>-0.001</v>
      </c>
      <c r="AY13" t="str">
        <v>-0.001</v>
      </c>
      <c r="AZ13" t="str">
        <v>0.035</v>
      </c>
      <c r="BA13" t="str">
        <v>0.012</v>
      </c>
      <c r="BB13" t="str">
        <v>-0.249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8000</v>
      </c>
      <c r="BQ13" t="str">
        <v>5</v>
      </c>
      <c r="BR13" t="str">
        <v>-9999.000000</v>
      </c>
      <c r="BS13" t="str">
        <v>-9999.000000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2.469661</v>
      </c>
      <c r="CD13" t="str">
        <v>2.442985</v>
      </c>
      <c r="CE13" t="str">
        <v>0.606941</v>
      </c>
      <c r="CF13" t="str">
        <v>0.572789</v>
      </c>
      <c r="CG13" t="str">
        <v>0.293017</v>
      </c>
      <c r="CH13" t="str">
        <v>-0.057582</v>
      </c>
      <c r="CI13" t="str">
        <v>0.169078</v>
      </c>
      <c r="CJ13" t="str">
        <v>0.109892</v>
      </c>
      <c r="CK13" t="str">
        <v>95.350388</v>
      </c>
      <c r="CL13" t="str">
        <v>0.000214</v>
      </c>
      <c r="CM13" t="str">
        <v>2.405086</v>
      </c>
      <c r="CN13" t="str">
        <v>0.000013</v>
      </c>
      <c r="CO13" t="str">
        <v>1.000000</v>
      </c>
      <c r="CP13" t="str">
        <v>2.372866</v>
      </c>
      <c r="CQ13" t="str">
        <v>0.000011</v>
      </c>
      <c r="CR13" t="str">
        <v>1.000000</v>
      </c>
      <c r="CS13" t="str">
        <v>0.601157</v>
      </c>
      <c r="CT13" t="str">
        <v>0.601293</v>
      </c>
      <c r="CU13" t="str">
        <v>0.106749</v>
      </c>
      <c r="CV13" t="str">
        <v>0.000000</v>
      </c>
      <c r="CW13" t="str">
        <v>PSF-01031_20260103232952_7f9</v>
      </c>
      <c r="CX13" t="str">
        <v>PFA-00872</v>
      </c>
      <c r="CY13" t="str">
        <v>PSA-00872</v>
      </c>
      <c r="CZ13" t="str">
        <v>PSF-01031</v>
      </c>
      <c r="DA13" t="str">
        <v>RHS-0785</v>
      </c>
      <c r="DB13" t="str">
        <v>3.0.0</v>
      </c>
      <c r="DC13" t="str">
        <v>2025-07-31T17:03:34.552Z</v>
      </c>
    </row>
    <row r="14">
      <c r="A14" t="str">
        <v>11</v>
      </c>
      <c r="B14" t="str">
        <v>23:30:19</v>
      </c>
      <c r="C14" t="str">
        <v>2026-01-03</v>
      </c>
      <c r="D14" t="str">
        <v>FB_Fl_Dark_8k</v>
      </c>
      <c r="E14" t="str">
        <v>Fern</v>
      </c>
      <c r="F14" t="str">
        <v/>
      </c>
      <c r="G14" t="str">
        <v/>
      </c>
      <c r="H14" t="str">
        <v/>
      </c>
      <c r="I14" t="str">
        <v/>
      </c>
      <c r="J14" t="str">
        <f>1/((1/L14)-(1/K14))</f>
        <v>0.001308</v>
      </c>
      <c r="K14" t="str">
        <f>BH14+(BI14*AN14)+(BJ14*AN14*POWER(V14,2))+(BK14*AN14*V14)+(BL14*POWER(AN14,2))</f>
        <v>0.032598</v>
      </c>
      <c r="L14" t="str">
        <f>((M14/1000)*(1000-((T14+S14)/2)))/(T14-S14)</f>
        <v>0.001257</v>
      </c>
      <c r="M14" t="str">
        <f>(AN14*(S14-R14))/(100*U14*(1000-S14))*1000</f>
        <v>0.016493</v>
      </c>
      <c r="N14" t="str">
        <v>1.142778</v>
      </c>
      <c r="O14" t="str">
        <v>1.082904</v>
      </c>
      <c r="P14" t="str">
        <f>0.61365*EXP((17.502*AL14)/(240.97+AL14))</f>
        <v>2.340234</v>
      </c>
      <c r="Q14" t="str">
        <f>P14-N14</f>
        <v>1.197456</v>
      </c>
      <c r="R14" t="str">
        <v>11.642068</v>
      </c>
      <c r="S14" t="str">
        <v>12.285750</v>
      </c>
      <c r="T14" t="str">
        <f>(P14/AM14)*1000</f>
        <v>25.159336</v>
      </c>
      <c r="U14" t="str">
        <f>V14*BG14</f>
        <v>0.441786</v>
      </c>
      <c r="V14" t="str">
        <v>7.500000</v>
      </c>
      <c r="W14" t="str">
        <v>PSF-01031_20260103233019_cdb</v>
      </c>
      <c r="X14" t="str">
        <v>122.269753</v>
      </c>
      <c r="Y14" t="str">
        <v>524.621155</v>
      </c>
      <c r="Z14" t="str">
        <v>0.766937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1.414603</v>
      </c>
      <c r="AG14" t="str">
        <v>1.000000</v>
      </c>
      <c r="AH14" t="str">
        <v>39.97</v>
      </c>
      <c r="AI14" t="str">
        <v>37.88</v>
      </c>
      <c r="AJ14" t="str">
        <v>23.23</v>
      </c>
      <c r="AK14" t="str">
        <v>19.96</v>
      </c>
      <c r="AL14" t="str">
        <f>(AK14-AJ14)*(AJ14*0+0)+AK14</f>
        <v>19.96</v>
      </c>
      <c r="AM14" t="str">
        <v>93.02</v>
      </c>
      <c r="AN14" t="str">
        <v>1.1</v>
      </c>
      <c r="AO14" t="str">
        <v>-15.5</v>
      </c>
      <c r="AP14" t="str">
        <v>1485.4</v>
      </c>
      <c r="AQ14" t="str">
        <v>5</v>
      </c>
      <c r="AR14" t="str">
        <v>3.676</v>
      </c>
      <c r="AS14" t="str">
        <v>23:25:41</v>
      </c>
      <c r="AT14" t="str">
        <v>2026-01-03</v>
      </c>
      <c r="AU14" t="str">
        <v>-1.87</v>
      </c>
      <c r="AV14" t="str">
        <v>1</v>
      </c>
      <c r="AW14" t="str">
        <v>-0.000</v>
      </c>
      <c r="AX14" t="str">
        <v>-0.000</v>
      </c>
      <c r="AY14" t="str">
        <v>-0.000</v>
      </c>
      <c r="AZ14" t="str">
        <v>0.465</v>
      </c>
      <c r="BA14" t="str">
        <v>0.744</v>
      </c>
      <c r="BB14" t="str">
        <v>0.914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8000</v>
      </c>
      <c r="BQ14" t="str">
        <v>5</v>
      </c>
      <c r="BR14" t="str">
        <v>-9999.000000</v>
      </c>
      <c r="BS14" t="str">
        <v>-9999.000000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2.469729</v>
      </c>
      <c r="CD14" t="str">
        <v>2.441695</v>
      </c>
      <c r="CE14" t="str">
        <v>0.606822</v>
      </c>
      <c r="CF14" t="str">
        <v>0.573354</v>
      </c>
      <c r="CG14" t="str">
        <v>0.292718</v>
      </c>
      <c r="CH14" t="str">
        <v>-0.035974</v>
      </c>
      <c r="CI14" t="str">
        <v>0.171603</v>
      </c>
      <c r="CJ14" t="str">
        <v>0.111002</v>
      </c>
      <c r="CK14" t="str">
        <v>122.269753</v>
      </c>
      <c r="CL14" t="str">
        <v>0.000215</v>
      </c>
      <c r="CM14" t="str">
        <v>2.405086</v>
      </c>
      <c r="CN14" t="str">
        <v>0.000013</v>
      </c>
      <c r="CO14" t="str">
        <v>1.000000</v>
      </c>
      <c r="CP14" t="str">
        <v>2.372866</v>
      </c>
      <c r="CQ14" t="str">
        <v>0.000011</v>
      </c>
      <c r="CR14" t="str">
        <v>1.000000</v>
      </c>
      <c r="CS14" t="str">
        <v>0.601157</v>
      </c>
      <c r="CT14" t="str">
        <v>0.601293</v>
      </c>
      <c r="CU14" t="str">
        <v>0.106749</v>
      </c>
      <c r="CV14" t="str">
        <v>0.000000</v>
      </c>
      <c r="CW14" t="str">
        <v>PSF-01031_20260103233019_cdb</v>
      </c>
      <c r="CX14" t="str">
        <v>PFA-00872</v>
      </c>
      <c r="CY14" t="str">
        <v>PSA-00872</v>
      </c>
      <c r="CZ14" t="str">
        <v>PSF-01031</v>
      </c>
      <c r="DA14" t="str">
        <v>RHS-0785</v>
      </c>
      <c r="DB14" t="str">
        <v>3.0.0</v>
      </c>
      <c r="DC14" t="str">
        <v>2025-07-31T17:03:34.552Z</v>
      </c>
    </row>
    <row r="15">
      <c r="A15" t="str">
        <v>12</v>
      </c>
      <c r="B15" t="str">
        <v>23:30:48</v>
      </c>
      <c r="C15" t="str">
        <v>2026-01-03</v>
      </c>
      <c r="D15" t="str">
        <v>FB_Fl_Dark_8k</v>
      </c>
      <c r="E15" t="str">
        <v>Fern</v>
      </c>
      <c r="F15" t="str">
        <v/>
      </c>
      <c r="G15" t="str">
        <v/>
      </c>
      <c r="H15" t="str">
        <v/>
      </c>
      <c r="I15" t="str">
        <v/>
      </c>
      <c r="J15" t="str">
        <f>1/((1/L15)-(1/K15))</f>
        <v>0.002656</v>
      </c>
      <c r="K15" t="str">
        <f>BH15+(BI15*AN15)+(BJ15*AN15*POWER(V15,2))+(BK15*AN15*V15)+(BL15*POWER(AN15,2))</f>
        <v>0.034461</v>
      </c>
      <c r="L15" t="str">
        <f>((M15/1000)*(1000-((T15+S15)/2)))/(T15-S15)</f>
        <v>0.002466</v>
      </c>
      <c r="M15" t="str">
        <f>(AN15*(S15-R15))/(100*U15*(1000-S15))*1000</f>
        <v>0.041062</v>
      </c>
      <c r="N15" t="str">
        <v>1.227854</v>
      </c>
      <c r="O15" t="str">
        <v>1.086996</v>
      </c>
      <c r="P15" t="str">
        <f>0.61365*EXP((17.502*AL15)/(240.97+AL15))</f>
        <v>2.743917</v>
      </c>
      <c r="Q15" t="str">
        <f>P15-N15</f>
        <v>1.516063</v>
      </c>
      <c r="R15" t="str">
        <v>11.685273</v>
      </c>
      <c r="S15" t="str">
        <v>13.199501</v>
      </c>
      <c r="T15" t="str">
        <f>(P15/AM15)*1000</f>
        <v>29.497267</v>
      </c>
      <c r="U15" t="str">
        <f>V15*BG15</f>
        <v>0.441786</v>
      </c>
      <c r="V15" t="str">
        <v>7.500000</v>
      </c>
      <c r="W15" t="str">
        <v>PSF-01031_20260103233048_35f</v>
      </c>
      <c r="X15" t="str">
        <v>76.133606</v>
      </c>
      <c r="Y15" t="str">
        <v>76.913239</v>
      </c>
      <c r="Z15" t="str">
        <v>0.010137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0.016970</v>
      </c>
      <c r="AG15" t="str">
        <v>1.000000</v>
      </c>
      <c r="AH15" t="str">
        <v>42.85</v>
      </c>
      <c r="AI15" t="str">
        <v>37.93</v>
      </c>
      <c r="AJ15" t="str">
        <v>23.27</v>
      </c>
      <c r="AK15" t="str">
        <v>22.55</v>
      </c>
      <c r="AL15" t="str">
        <f>(AK15-AJ15)*(AJ15*0+0)+AK15</f>
        <v>22.55</v>
      </c>
      <c r="AM15" t="str">
        <v>93.02</v>
      </c>
      <c r="AN15" t="str">
        <v>1.2</v>
      </c>
      <c r="AO15" t="str">
        <v>-16.4</v>
      </c>
      <c r="AP15" t="str">
        <v>1489.7</v>
      </c>
      <c r="AQ15" t="str">
        <v>4</v>
      </c>
      <c r="AR15" t="str">
        <v>3.711</v>
      </c>
      <c r="AS15" t="str">
        <v>23:25:41</v>
      </c>
      <c r="AT15" t="str">
        <v>2026-01-03</v>
      </c>
      <c r="AU15" t="str">
        <v>-1.87</v>
      </c>
      <c r="AV15" t="str">
        <v>1</v>
      </c>
      <c r="AW15" t="str">
        <v>0.000</v>
      </c>
      <c r="AX15" t="str">
        <v>0.000</v>
      </c>
      <c r="AY15" t="str">
        <v>0.000</v>
      </c>
      <c r="AZ15" t="str">
        <v>0.287</v>
      </c>
      <c r="BA15" t="str">
        <v>0.072</v>
      </c>
      <c r="BB15" t="str">
        <v>-0.543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8000</v>
      </c>
      <c r="BQ15" t="str">
        <v>5</v>
      </c>
      <c r="BR15" t="str">
        <v>-9999.000000</v>
      </c>
      <c r="BS15" t="str">
        <v>-9999.000000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2.469807</v>
      </c>
      <c r="CD15" t="str">
        <v>2.445715</v>
      </c>
      <c r="CE15" t="str">
        <v>0.607147</v>
      </c>
      <c r="CF15" t="str">
        <v>0.571679</v>
      </c>
      <c r="CG15" t="str">
        <v>0.292280</v>
      </c>
      <c r="CH15" t="str">
        <v>-0.007294</v>
      </c>
      <c r="CI15" t="str">
        <v>0.174306</v>
      </c>
      <c r="CJ15" t="str">
        <v>0.110609</v>
      </c>
      <c r="CK15" t="str">
        <v>75.947998</v>
      </c>
      <c r="CL15" t="str">
        <v>0.000211</v>
      </c>
      <c r="CM15" t="str">
        <v>2.405086</v>
      </c>
      <c r="CN15" t="str">
        <v>0.000013</v>
      </c>
      <c r="CO15" t="str">
        <v>1.000000</v>
      </c>
      <c r="CP15" t="str">
        <v>2.372866</v>
      </c>
      <c r="CQ15" t="str">
        <v>0.000011</v>
      </c>
      <c r="CR15" t="str">
        <v>1.000000</v>
      </c>
      <c r="CS15" t="str">
        <v>0.601157</v>
      </c>
      <c r="CT15" t="str">
        <v>0.601293</v>
      </c>
      <c r="CU15" t="str">
        <v>0.106749</v>
      </c>
      <c r="CV15" t="str">
        <v>0.000000</v>
      </c>
      <c r="CW15" t="str">
        <v>PSF-01031_20260103233048_35f</v>
      </c>
      <c r="CX15" t="str">
        <v>PFA-00872</v>
      </c>
      <c r="CY15" t="str">
        <v>PSA-00872</v>
      </c>
      <c r="CZ15" t="str">
        <v>PSF-01031</v>
      </c>
      <c r="DA15" t="str">
        <v>RHS-0785</v>
      </c>
      <c r="DB15" t="str">
        <v>3.0.0</v>
      </c>
      <c r="DC15" t="str">
        <v>2025-07-31T17:03:34.552Z</v>
      </c>
    </row>
    <row r="16">
      <c r="A16" t="str">
        <v>13</v>
      </c>
      <c r="B16" t="str">
        <v>23:31:17</v>
      </c>
      <c r="C16" t="str">
        <v>2026-01-03</v>
      </c>
      <c r="D16" t="str">
        <v>FB_Fl_Dark_8k</v>
      </c>
      <c r="E16" t="str">
        <v>Fern</v>
      </c>
      <c r="F16" t="str">
        <v/>
      </c>
      <c r="G16" t="str">
        <v/>
      </c>
      <c r="H16" t="str">
        <v/>
      </c>
      <c r="I16" t="str">
        <v/>
      </c>
      <c r="J16" t="str">
        <f>1/((1/L16)-(1/K16))</f>
        <v>0.001296</v>
      </c>
      <c r="K16" t="str">
        <f>BH16+(BI16*AN16)+(BJ16*AN16*POWER(V16,2))+(BK16*AN16*V16)+(BL16*POWER(AN16,2))</f>
        <v>0.033976</v>
      </c>
      <c r="L16" t="str">
        <f>((M16/1000)*(1000-((T16+S16)/2)))/(T16-S16)</f>
        <v>0.001248</v>
      </c>
      <c r="M16" t="str">
        <f>(AN16*(S16-R16))/(100*U16*(1000-S16))*1000</f>
        <v>0.019028</v>
      </c>
      <c r="N16" t="str">
        <v>1.155766</v>
      </c>
      <c r="O16" t="str">
        <v>1.089509</v>
      </c>
      <c r="P16" t="str">
        <f>0.61365*EXP((17.502*AL16)/(240.97+AL16))</f>
        <v>2.545463</v>
      </c>
      <c r="Q16" t="str">
        <f>P16-N16</f>
        <v>1.389697</v>
      </c>
      <c r="R16" t="str">
        <v>11.712855</v>
      </c>
      <c r="S16" t="str">
        <v>12.425154</v>
      </c>
      <c r="T16" t="str">
        <f>(P16/AM16)*1000</f>
        <v>27.365204</v>
      </c>
      <c r="U16" t="str">
        <f>V16*BG16</f>
        <v>0.441786</v>
      </c>
      <c r="V16" t="str">
        <v>7.500000</v>
      </c>
      <c r="W16" t="str">
        <v>PSF-01031_20260103233117_830</v>
      </c>
      <c r="X16" t="str">
        <v>81.218719</v>
      </c>
      <c r="Y16" t="str">
        <v>318.578491</v>
      </c>
      <c r="Z16" t="str">
        <v>0.745059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0.744283</v>
      </c>
      <c r="AG16" t="str">
        <v>1.000000</v>
      </c>
      <c r="AH16" t="str">
        <v>40.25</v>
      </c>
      <c r="AI16" t="str">
        <v>37.95</v>
      </c>
      <c r="AJ16" t="str">
        <v>23.30</v>
      </c>
      <c r="AK16" t="str">
        <v>21.32</v>
      </c>
      <c r="AL16" t="str">
        <f>(AK16-AJ16)*(AJ16*0+0)+AK16</f>
        <v>21.32</v>
      </c>
      <c r="AM16" t="str">
        <v>93.02</v>
      </c>
      <c r="AN16" t="str">
        <v>1.2</v>
      </c>
      <c r="AO16" t="str">
        <v>-16.1</v>
      </c>
      <c r="AP16" t="str">
        <v>1483.2</v>
      </c>
      <c r="AQ16" t="str">
        <v>2</v>
      </c>
      <c r="AR16" t="str">
        <v>3.711</v>
      </c>
      <c r="AS16" t="str">
        <v>23:25:41</v>
      </c>
      <c r="AT16" t="str">
        <v>2026-01-03</v>
      </c>
      <c r="AU16" t="str">
        <v>-1.87</v>
      </c>
      <c r="AV16" t="str">
        <v>1</v>
      </c>
      <c r="AW16" t="str">
        <v>-0.000</v>
      </c>
      <c r="AX16" t="str">
        <v>-0.000</v>
      </c>
      <c r="AY16" t="str">
        <v>-0.000</v>
      </c>
      <c r="AZ16" t="str">
        <v>0.081</v>
      </c>
      <c r="BA16" t="str">
        <v>0.153</v>
      </c>
      <c r="BB16" t="str">
        <v>-0.046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8000</v>
      </c>
      <c r="BQ16" t="str">
        <v>5</v>
      </c>
      <c r="BR16" t="str">
        <v>-9999.000000</v>
      </c>
      <c r="BS16" t="str">
        <v>-9999.000000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2.469823</v>
      </c>
      <c r="CD16" t="str">
        <v>2.442083</v>
      </c>
      <c r="CE16" t="str">
        <v>0.607062</v>
      </c>
      <c r="CF16" t="str">
        <v>0.572228</v>
      </c>
      <c r="CG16" t="str">
        <v>0.291904</v>
      </c>
      <c r="CH16" t="str">
        <v>-0.021569</v>
      </c>
      <c r="CI16" t="str">
        <v>0.176951</v>
      </c>
      <c r="CJ16" t="str">
        <v>0.109052</v>
      </c>
      <c r="CK16" t="str">
        <v>81.218719</v>
      </c>
      <c r="CL16" t="str">
        <v>0.000215</v>
      </c>
      <c r="CM16" t="str">
        <v>2.405086</v>
      </c>
      <c r="CN16" t="str">
        <v>0.000013</v>
      </c>
      <c r="CO16" t="str">
        <v>1.000000</v>
      </c>
      <c r="CP16" t="str">
        <v>2.372866</v>
      </c>
      <c r="CQ16" t="str">
        <v>0.000011</v>
      </c>
      <c r="CR16" t="str">
        <v>1.000000</v>
      </c>
      <c r="CS16" t="str">
        <v>0.601157</v>
      </c>
      <c r="CT16" t="str">
        <v>0.601293</v>
      </c>
      <c r="CU16" t="str">
        <v>0.106749</v>
      </c>
      <c r="CV16" t="str">
        <v>0.000000</v>
      </c>
      <c r="CW16" t="str">
        <v>PSF-01031_20260103233117_830</v>
      </c>
      <c r="CX16" t="str">
        <v>PFA-00872</v>
      </c>
      <c r="CY16" t="str">
        <v>PSA-00872</v>
      </c>
      <c r="CZ16" t="str">
        <v>PSF-01031</v>
      </c>
      <c r="DA16" t="str">
        <v>RHS-0785</v>
      </c>
      <c r="DB16" t="str">
        <v>3.0.0</v>
      </c>
      <c r="DC16" t="str">
        <v>2025-07-31T17:03:34.552Z</v>
      </c>
    </row>
    <row r="17">
      <c r="A17" t="str">
        <v>14</v>
      </c>
      <c r="B17" t="str">
        <v>23:31:41</v>
      </c>
      <c r="C17" t="str">
        <v>2026-01-03</v>
      </c>
      <c r="D17" t="str">
        <v>FB_Fl_Dark_8k</v>
      </c>
      <c r="E17" t="str">
        <v>Fern</v>
      </c>
      <c r="F17" t="str">
        <v/>
      </c>
      <c r="G17" t="str">
        <v/>
      </c>
      <c r="H17" t="str">
        <v/>
      </c>
      <c r="I17" t="str">
        <v/>
      </c>
      <c r="J17" t="str">
        <f>1/((1/L17)-(1/K17))</f>
        <v>0.001066</v>
      </c>
      <c r="K17" t="str">
        <f>BH17+(BI17*AN17)+(BJ17*AN17*POWER(V17,2))+(BK17*AN17*V17)+(BL17*POWER(AN17,2))</f>
        <v>0.033880</v>
      </c>
      <c r="L17" t="str">
        <f>((M17/1000)*(1000-((T17+S17)/2)))/(T17-S17)</f>
        <v>0.001034</v>
      </c>
      <c r="M17" t="str">
        <f>(AN17*(S17-R17))/(100*U17*(1000-S17))*1000</f>
        <v>0.016389</v>
      </c>
      <c r="N17" t="str">
        <v>1.148851</v>
      </c>
      <c r="O17" t="str">
        <v>1.091615</v>
      </c>
      <c r="P17" t="str">
        <f>0.61365*EXP((17.502*AL17)/(240.97+AL17))</f>
        <v>2.593980</v>
      </c>
      <c r="Q17" t="str">
        <f>P17-N17</f>
        <v>1.445129</v>
      </c>
      <c r="R17" t="str">
        <v>11.735047</v>
      </c>
      <c r="S17" t="str">
        <v>12.350343</v>
      </c>
      <c r="T17" t="str">
        <f>(P17/AM17)*1000</f>
        <v>27.885735</v>
      </c>
      <c r="U17" t="str">
        <f>V17*BG17</f>
        <v>0.441786</v>
      </c>
      <c r="V17" t="str">
        <v>7.500000</v>
      </c>
      <c r="W17" t="str">
        <v>PSF-01031_20260103233141_3e5</v>
      </c>
      <c r="X17" t="str">
        <v>71.253777</v>
      </c>
      <c r="Y17" t="str">
        <v>70.728065</v>
      </c>
      <c r="Z17" t="str">
        <v>-0.007433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-0.010155</v>
      </c>
      <c r="AG17" t="str">
        <v>1.000000</v>
      </c>
      <c r="AH17" t="str">
        <v>39.95</v>
      </c>
      <c r="AI17" t="str">
        <v>37.96</v>
      </c>
      <c r="AJ17" t="str">
        <v>23.32</v>
      </c>
      <c r="AK17" t="str">
        <v>21.63</v>
      </c>
      <c r="AL17" t="str">
        <f>(AK17-AJ17)*(AJ17*0+0)+AK17</f>
        <v>21.63</v>
      </c>
      <c r="AM17" t="str">
        <v>93.02</v>
      </c>
      <c r="AN17" t="str">
        <v>1.2</v>
      </c>
      <c r="AO17" t="str">
        <v>-15.6</v>
      </c>
      <c r="AP17" t="str">
        <v>1443.6</v>
      </c>
      <c r="AQ17" t="str">
        <v>3</v>
      </c>
      <c r="AR17" t="str">
        <v>3.709</v>
      </c>
      <c r="AS17" t="str">
        <v>23:25:41</v>
      </c>
      <c r="AT17" t="str">
        <v>2026-01-03</v>
      </c>
      <c r="AU17" t="str">
        <v>-1.87</v>
      </c>
      <c r="AV17" t="str">
        <v>1</v>
      </c>
      <c r="AW17" t="str">
        <v>0.000</v>
      </c>
      <c r="AX17" t="str">
        <v>0.000</v>
      </c>
      <c r="AY17" t="str">
        <v>-0.000</v>
      </c>
      <c r="AZ17" t="str">
        <v>0.133</v>
      </c>
      <c r="BA17" t="str">
        <v>0.346</v>
      </c>
      <c r="BB17" t="str">
        <v>0.422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8000</v>
      </c>
      <c r="BQ17" t="str">
        <v>5</v>
      </c>
      <c r="BR17" t="str">
        <v>-9999.000000</v>
      </c>
      <c r="BS17" t="str">
        <v>-9999.000000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2.469840</v>
      </c>
      <c r="CD17" t="str">
        <v>2.441652</v>
      </c>
      <c r="CE17" t="str">
        <v>0.607045</v>
      </c>
      <c r="CF17" t="str">
        <v>0.573130</v>
      </c>
      <c r="CG17" t="str">
        <v>0.291603</v>
      </c>
      <c r="CH17" t="str">
        <v>-0.018398</v>
      </c>
      <c r="CI17" t="str">
        <v>0.179147</v>
      </c>
      <c r="CJ17" t="str">
        <v>0.109899</v>
      </c>
      <c r="CK17" t="str">
        <v>71.253777</v>
      </c>
      <c r="CL17" t="str">
        <v>0.000215</v>
      </c>
      <c r="CM17" t="str">
        <v>2.405086</v>
      </c>
      <c r="CN17" t="str">
        <v>0.000013</v>
      </c>
      <c r="CO17" t="str">
        <v>1.000000</v>
      </c>
      <c r="CP17" t="str">
        <v>2.372866</v>
      </c>
      <c r="CQ17" t="str">
        <v>0.000011</v>
      </c>
      <c r="CR17" t="str">
        <v>1.000000</v>
      </c>
      <c r="CS17" t="str">
        <v>0.601157</v>
      </c>
      <c r="CT17" t="str">
        <v>0.601293</v>
      </c>
      <c r="CU17" t="str">
        <v>0.106749</v>
      </c>
      <c r="CV17" t="str">
        <v>0.000000</v>
      </c>
      <c r="CW17" t="str">
        <v>PSF-01031_20260103233141_3e5</v>
      </c>
      <c r="CX17" t="str">
        <v>PFA-00872</v>
      </c>
      <c r="CY17" t="str">
        <v>PSA-00872</v>
      </c>
      <c r="CZ17" t="str">
        <v>PSF-01031</v>
      </c>
      <c r="DA17" t="str">
        <v>RHS-0785</v>
      </c>
      <c r="DB17" t="str">
        <v>3.0.0</v>
      </c>
      <c r="DC17" t="str">
        <v>2025-07-31T17:03:34.552Z</v>
      </c>
    </row>
    <row r="18">
      <c r="A18" t="str">
        <v>15</v>
      </c>
      <c r="B18" t="str">
        <v>23:32:06</v>
      </c>
      <c r="C18" t="str">
        <v>2026-01-03</v>
      </c>
      <c r="D18" t="str">
        <v>FB_Fl_Dark_8k</v>
      </c>
      <c r="E18" t="str">
        <v>Fern</v>
      </c>
      <c r="F18" t="str">
        <v/>
      </c>
      <c r="G18" t="str">
        <v/>
      </c>
      <c r="H18" t="str">
        <v/>
      </c>
      <c r="I18" t="str">
        <v/>
      </c>
      <c r="J18" t="str">
        <f>1/((1/L18)-(1/K18))</f>
        <v>0.002024</v>
      </c>
      <c r="K18" t="str">
        <f>BH18+(BI18*AN18)+(BJ18*AN18*POWER(V18,2))+(BK18*AN18*V18)+(BL18*POWER(AN18,2))</f>
        <v>0.033610</v>
      </c>
      <c r="L18" t="str">
        <f>((M18/1000)*(1000-((T18+S18)/2)))/(T18-S18)</f>
        <v>0.001909</v>
      </c>
      <c r="M18" t="str">
        <f>(AN18*(S18-R18))/(100*U18*(1000-S18))*1000</f>
        <v>0.028375</v>
      </c>
      <c r="N18" t="str">
        <v>1.194153</v>
      </c>
      <c r="O18" t="str">
        <v>1.094304</v>
      </c>
      <c r="P18" t="str">
        <f>0.61365*EXP((17.502*AL18)/(240.97+AL18))</f>
        <v>2.549070</v>
      </c>
      <c r="Q18" t="str">
        <f>P18-N18</f>
        <v>1.354917</v>
      </c>
      <c r="R18" t="str">
        <v>11.763483</v>
      </c>
      <c r="S18" t="str">
        <v>12.836840</v>
      </c>
      <c r="T18" t="str">
        <f>(P18/AM18)*1000</f>
        <v>27.401846</v>
      </c>
      <c r="U18" t="str">
        <f>V18*BG18</f>
        <v>0.441786</v>
      </c>
      <c r="V18" t="str">
        <v>7.500000</v>
      </c>
      <c r="W18" t="str">
        <v>PSF-01031_20260103233206_269</v>
      </c>
      <c r="X18" t="str">
        <v>75.871109</v>
      </c>
      <c r="Y18" t="str">
        <v>377.638580</v>
      </c>
      <c r="Z18" t="str">
        <v>0.799091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1.537744</v>
      </c>
      <c r="AG18" t="str">
        <v>1.000000</v>
      </c>
      <c r="AH18" t="str">
        <v>41.44</v>
      </c>
      <c r="AI18" t="str">
        <v>37.97</v>
      </c>
      <c r="AJ18" t="str">
        <v>23.36</v>
      </c>
      <c r="AK18" t="str">
        <v>21.34</v>
      </c>
      <c r="AL18" t="str">
        <f>(AK18-AJ18)*(AJ18*0+0)+AK18</f>
        <v>21.34</v>
      </c>
      <c r="AM18" t="str">
        <v>93.03</v>
      </c>
      <c r="AN18" t="str">
        <v>1.2</v>
      </c>
      <c r="AO18" t="str">
        <v>-15.8</v>
      </c>
      <c r="AP18" t="str">
        <v>1472.1</v>
      </c>
      <c r="AQ18" t="str">
        <v>5</v>
      </c>
      <c r="AR18" t="str">
        <v>3.708</v>
      </c>
      <c r="AS18" t="str">
        <v>23:25:41</v>
      </c>
      <c r="AT18" t="str">
        <v>2026-01-03</v>
      </c>
      <c r="AU18" t="str">
        <v>-1.87</v>
      </c>
      <c r="AV18" t="str">
        <v>1</v>
      </c>
      <c r="AW18" t="str">
        <v>-0.000</v>
      </c>
      <c r="AX18" t="str">
        <v>-0.000</v>
      </c>
      <c r="AY18" t="str">
        <v>0.000</v>
      </c>
      <c r="AZ18" t="str">
        <v>0.045</v>
      </c>
      <c r="BA18" t="str">
        <v>0.148</v>
      </c>
      <c r="BB18" t="str">
        <v>0.420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8000</v>
      </c>
      <c r="BQ18" t="str">
        <v>5</v>
      </c>
      <c r="BR18" t="str">
        <v>-9999.000000</v>
      </c>
      <c r="BS18" t="str">
        <v>-9999.000000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2.469849</v>
      </c>
      <c r="CD18" t="str">
        <v>2.443726</v>
      </c>
      <c r="CE18" t="str">
        <v>0.606998</v>
      </c>
      <c r="CF18" t="str">
        <v>0.572767</v>
      </c>
      <c r="CG18" t="str">
        <v>0.291177</v>
      </c>
      <c r="CH18" t="str">
        <v>-0.022026</v>
      </c>
      <c r="CI18" t="str">
        <v>0.181463</v>
      </c>
      <c r="CJ18" t="str">
        <v>0.111186</v>
      </c>
      <c r="CK18" t="str">
        <v>75.871109</v>
      </c>
      <c r="CL18" t="str">
        <v>0.000213</v>
      </c>
      <c r="CM18" t="str">
        <v>2.405086</v>
      </c>
      <c r="CN18" t="str">
        <v>0.000013</v>
      </c>
      <c r="CO18" t="str">
        <v>1.000000</v>
      </c>
      <c r="CP18" t="str">
        <v>2.372866</v>
      </c>
      <c r="CQ18" t="str">
        <v>0.000011</v>
      </c>
      <c r="CR18" t="str">
        <v>1.000000</v>
      </c>
      <c r="CS18" t="str">
        <v>0.601157</v>
      </c>
      <c r="CT18" t="str">
        <v>0.601293</v>
      </c>
      <c r="CU18" t="str">
        <v>0.106749</v>
      </c>
      <c r="CV18" t="str">
        <v>0.000000</v>
      </c>
      <c r="CW18" t="str">
        <v>PSF-01031_20260103233206_269</v>
      </c>
      <c r="CX18" t="str">
        <v>PFA-00872</v>
      </c>
      <c r="CY18" t="str">
        <v>PSA-00872</v>
      </c>
      <c r="CZ18" t="str">
        <v>PSF-01031</v>
      </c>
      <c r="DA18" t="str">
        <v>RHS-0785</v>
      </c>
      <c r="DB18" t="str">
        <v>3.0.0</v>
      </c>
      <c r="DC18" t="str">
        <v>2025-07-31T17:03:34.552Z</v>
      </c>
    </row>
  </sheetData>
  <ignoredErrors>
    <ignoredError numberStoredAsText="1" sqref="A1:D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