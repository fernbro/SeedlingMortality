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0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22:36:54</v>
      </c>
      <c r="C4" t="str">
        <v>2026-01-18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0.005799</v>
      </c>
      <c r="K4" t="str">
        <f>BH4+(BI4*AN4)+(BJ4*AN4*POWER(V4,2))+(BK4*AN4*V4)+(BL4*POWER(AN4,2))</f>
        <v>0.034449</v>
      </c>
      <c r="L4" t="str">
        <f>((M4/1000)*(1000-((T4+S4)/2)))/(T4-S4)</f>
        <v>0.004964</v>
      </c>
      <c r="M4" t="str">
        <f>(AN4*(S4-R4))/(100*U4*(1000-S4))*1000</f>
        <v>0.061557</v>
      </c>
      <c r="N4" t="str">
        <v>0.983130</v>
      </c>
      <c r="O4" t="str">
        <v>0.770985</v>
      </c>
      <c r="P4" t="str">
        <f>0.61365*EXP((17.502*AL4)/(240.97+AL4))</f>
        <v>2.119339</v>
      </c>
      <c r="Q4" t="str">
        <f>P4-N4</f>
        <v>1.136209</v>
      </c>
      <c r="R4" t="str">
        <v>8.274929</v>
      </c>
      <c r="S4" t="str">
        <v>10.551858</v>
      </c>
      <c r="T4" t="str">
        <f>(P4/AM4)*1000</f>
        <v>22.746702</v>
      </c>
      <c r="U4" t="str">
        <f>V4*BG4</f>
        <v>0.441786</v>
      </c>
      <c r="V4" t="str">
        <v>7.500000</v>
      </c>
      <c r="W4" t="str">
        <v>PSF-01031_20260118223654_ce0</v>
      </c>
      <c r="X4" t="str">
        <v>49.145222</v>
      </c>
      <c r="Y4" t="str">
        <v>234.390732</v>
      </c>
      <c r="Z4" t="str">
        <v>0.790328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0.721099</v>
      </c>
      <c r="AG4" t="str">
        <v>1.000000</v>
      </c>
      <c r="AH4" t="str">
        <v>41.96</v>
      </c>
      <c r="AI4" t="str">
        <v>32.91</v>
      </c>
      <c r="AJ4" t="str">
        <v>19.97</v>
      </c>
      <c r="AK4" t="str">
        <v>18.37</v>
      </c>
      <c r="AL4" t="str">
        <f>(AK4-AJ4)*(AJ4*0+0)+AK4</f>
        <v>18.37</v>
      </c>
      <c r="AM4" t="str">
        <v>93.17</v>
      </c>
      <c r="AN4" t="str">
        <v>1.2</v>
      </c>
      <c r="AO4" t="str">
        <v>-16.2</v>
      </c>
      <c r="AP4" t="str">
        <v>1469.4</v>
      </c>
      <c r="AQ4" t="str">
        <v>2</v>
      </c>
      <c r="AR4" t="str">
        <v>3.651</v>
      </c>
      <c r="AS4" t="str">
        <v>22:34:50</v>
      </c>
      <c r="AT4" t="str">
        <v>2026-01-18</v>
      </c>
      <c r="AU4" t="str">
        <v>6.85</v>
      </c>
      <c r="AV4" t="str">
        <v>1</v>
      </c>
      <c r="AW4" t="str">
        <v>-0.001</v>
      </c>
      <c r="AX4" t="str">
        <v>-0.001</v>
      </c>
      <c r="AY4" t="str">
        <v>0.000</v>
      </c>
      <c r="AZ4" t="str">
        <v>-0.210</v>
      </c>
      <c r="BA4" t="str">
        <v>-0.160</v>
      </c>
      <c r="BB4" t="str">
        <v>-0.501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2.462732</v>
      </c>
      <c r="CD4" t="str">
        <v>2.432574</v>
      </c>
      <c r="CE4" t="str">
        <v>0.607145</v>
      </c>
      <c r="CF4" t="str">
        <v>0.572117</v>
      </c>
      <c r="CG4" t="str">
        <v>0.333532</v>
      </c>
      <c r="CH4" t="str">
        <v>-0.016701</v>
      </c>
      <c r="CI4" t="str">
        <v>0.062146</v>
      </c>
      <c r="CJ4" t="str">
        <v>0.108853</v>
      </c>
      <c r="CK4" t="str">
        <v>49.145222</v>
      </c>
      <c r="CL4" t="str">
        <v>0.000213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PSF-01031_20260118223654_ce0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22:37:45</v>
      </c>
      <c r="C5" t="str">
        <v>2026-01-18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0.006649</v>
      </c>
      <c r="K5" t="str">
        <f>BH5+(BI5*AN5)+(BJ5*AN5*POWER(V5,2))+(BK5*AN5*V5)+(BL5*POWER(AN5,2))</f>
        <v>0.033135</v>
      </c>
      <c r="L5" t="str">
        <f>((M5/1000)*(1000-((T5+S5)/2)))/(T5-S5)</f>
        <v>0.005538</v>
      </c>
      <c r="M5" t="str">
        <f>(AN5*(S5-R5))/(100*U5*(1000-S5))*1000</f>
        <v>0.078150</v>
      </c>
      <c r="N5" t="str">
        <v>1.057367</v>
      </c>
      <c r="O5" t="str">
        <v>0.777505</v>
      </c>
      <c r="P5" t="str">
        <f>0.61365*EXP((17.502*AL5)/(240.97+AL5))</f>
        <v>2.348445</v>
      </c>
      <c r="Q5" t="str">
        <f>P5-N5</f>
        <v>1.291079</v>
      </c>
      <c r="R5" t="str">
        <v>8.343626</v>
      </c>
      <c r="S5" t="str">
        <v>11.346901</v>
      </c>
      <c r="T5" t="str">
        <f>(P5/AM5)*1000</f>
        <v>25.201832</v>
      </c>
      <c r="U5" t="str">
        <f>V5*BG5</f>
        <v>0.441786</v>
      </c>
      <c r="V5" t="str">
        <v>7.500000</v>
      </c>
      <c r="W5" t="str">
        <v>PSF-01031_20260118223745_67b</v>
      </c>
      <c r="X5" t="str">
        <v>76.935768</v>
      </c>
      <c r="Y5" t="str">
        <v>83.235023</v>
      </c>
      <c r="Z5" t="str">
        <v>0.075680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0.147938</v>
      </c>
      <c r="AG5" t="str">
        <v>1.000000</v>
      </c>
      <c r="AH5" t="str">
        <v>44.82</v>
      </c>
      <c r="AI5" t="str">
        <v>32.95</v>
      </c>
      <c r="AJ5" t="str">
        <v>20.09</v>
      </c>
      <c r="AK5" t="str">
        <v>20.01</v>
      </c>
      <c r="AL5" t="str">
        <f>(AK5-AJ5)*(AJ5*0+0)+AK5</f>
        <v>20.01</v>
      </c>
      <c r="AM5" t="str">
        <v>93.19</v>
      </c>
      <c r="AN5" t="str">
        <v>1.1</v>
      </c>
      <c r="AO5" t="str">
        <v>-16.0</v>
      </c>
      <c r="AP5" t="str">
        <v>1506.4</v>
      </c>
      <c r="AQ5" t="str">
        <v>5</v>
      </c>
      <c r="AR5" t="str">
        <v>3.648</v>
      </c>
      <c r="AS5" t="str">
        <v>22:34:50</v>
      </c>
      <c r="AT5" t="str">
        <v>2026-01-18</v>
      </c>
      <c r="AU5" t="str">
        <v>6.85</v>
      </c>
      <c r="AV5" t="str">
        <v>1</v>
      </c>
      <c r="AW5" t="str">
        <v>0.000</v>
      </c>
      <c r="AX5" t="str">
        <v>-0.000</v>
      </c>
      <c r="AY5" t="str">
        <v>-0.001</v>
      </c>
      <c r="AZ5" t="str">
        <v>0.191</v>
      </c>
      <c r="BA5" t="str">
        <v>0.172</v>
      </c>
      <c r="BB5" t="str">
        <v>0.189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2.462789</v>
      </c>
      <c r="CD5" t="str">
        <v>2.436704</v>
      </c>
      <c r="CE5" t="str">
        <v>0.606915</v>
      </c>
      <c r="CF5" t="str">
        <v>0.572472</v>
      </c>
      <c r="CG5" t="str">
        <v>0.332021</v>
      </c>
      <c r="CH5" t="str">
        <v>0.000237</v>
      </c>
      <c r="CI5" t="str">
        <v>0.068475</v>
      </c>
      <c r="CJ5" t="str">
        <v>0.111256</v>
      </c>
      <c r="CK5" t="str">
        <v>76.935768</v>
      </c>
      <c r="CL5" t="str">
        <v>0.000210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PSF-01031_20260118223745_67b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22:38:19</v>
      </c>
      <c r="C6" t="str">
        <v>2026-01-18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0.003442</v>
      </c>
      <c r="K6" t="str">
        <f>BH6+(BI6*AN6)+(BJ6*AN6*POWER(V6,2))+(BK6*AN6*V6)+(BL6*POWER(AN6,2))</f>
        <v>0.033489</v>
      </c>
      <c r="L6" t="str">
        <f>((M6/1000)*(1000-((T6+S6)/2)))/(T6-S6)</f>
        <v>0.003122</v>
      </c>
      <c r="M6" t="str">
        <f>(AN6*(S6-R6))/(100*U6*(1000-S6))*1000</f>
        <v>0.050709</v>
      </c>
      <c r="N6" t="str">
        <v>0.963217</v>
      </c>
      <c r="O6" t="str">
        <v>0.783377</v>
      </c>
      <c r="P6" t="str">
        <f>0.61365*EXP((17.502*AL6)/(240.97+AL6))</f>
        <v>2.449197</v>
      </c>
      <c r="Q6" t="str">
        <f>P6-N6</f>
        <v>1.485980</v>
      </c>
      <c r="R6" t="str">
        <v>8.407044</v>
      </c>
      <c r="S6" t="str">
        <v>10.337051</v>
      </c>
      <c r="T6" t="str">
        <f>(P6/AM6)*1000</f>
        <v>26.284292</v>
      </c>
      <c r="U6" t="str">
        <f>V6*BG6</f>
        <v>0.441786</v>
      </c>
      <c r="V6" t="str">
        <v>7.500000</v>
      </c>
      <c r="W6" t="str">
        <v>PSF-01031_20260118223819_6dd</v>
      </c>
      <c r="X6" t="str">
        <v>27.394295</v>
      </c>
      <c r="Y6" t="str">
        <v>140.592453</v>
      </c>
      <c r="Z6" t="str">
        <v>0.805151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1.668177</v>
      </c>
      <c r="AG6" t="str">
        <v>1.000000</v>
      </c>
      <c r="AH6" t="str">
        <v>40.50</v>
      </c>
      <c r="AI6" t="str">
        <v>32.94</v>
      </c>
      <c r="AJ6" t="str">
        <v>20.22</v>
      </c>
      <c r="AK6" t="str">
        <v>20.69</v>
      </c>
      <c r="AL6" t="str">
        <f>(AK6-AJ6)*(AJ6*0+0)+AK6</f>
        <v>20.69</v>
      </c>
      <c r="AM6" t="str">
        <v>93.18</v>
      </c>
      <c r="AN6" t="str">
        <v>1.1</v>
      </c>
      <c r="AO6" t="str">
        <v>-16.2</v>
      </c>
      <c r="AP6" t="str">
        <v>1510.8</v>
      </c>
      <c r="AQ6" t="str">
        <v>5</v>
      </c>
      <c r="AR6" t="str">
        <v>3.648</v>
      </c>
      <c r="AS6" t="str">
        <v>22:34:50</v>
      </c>
      <c r="AT6" t="str">
        <v>2026-01-18</v>
      </c>
      <c r="AU6" t="str">
        <v>6.85</v>
      </c>
      <c r="AV6" t="str">
        <v>1</v>
      </c>
      <c r="AW6" t="str">
        <v>-0.001</v>
      </c>
      <c r="AX6" t="str">
        <v>-0.001</v>
      </c>
      <c r="AY6" t="str">
        <v>-0.001</v>
      </c>
      <c r="AZ6" t="str">
        <v>0.216</v>
      </c>
      <c r="BA6" t="str">
        <v>0.010</v>
      </c>
      <c r="BB6" t="str">
        <v>0.100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2.462753</v>
      </c>
      <c r="CD6" t="str">
        <v>2.430397</v>
      </c>
      <c r="CE6" t="str">
        <v>0.606977</v>
      </c>
      <c r="CF6" t="str">
        <v>0.572077</v>
      </c>
      <c r="CG6" t="str">
        <v>0.330320</v>
      </c>
      <c r="CH6" t="str">
        <v>0.006413</v>
      </c>
      <c r="CI6" t="str">
        <v>0.072624</v>
      </c>
      <c r="CJ6" t="str">
        <v>0.111526</v>
      </c>
      <c r="CK6" t="str">
        <v>27.394295</v>
      </c>
      <c r="CL6" t="str">
        <v>0.000211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PSF-01031_20260118223819_6dd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22:39:19</v>
      </c>
      <c r="C7" t="str">
        <v>2026-01-18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0.002677</v>
      </c>
      <c r="K7" t="str">
        <f>BH7+(BI7*AN7)+(BJ7*AN7*POWER(V7,2))+(BK7*AN7*V7)+(BL7*POWER(AN7,2))</f>
        <v>0.034361</v>
      </c>
      <c r="L7" t="str">
        <f>((M7/1000)*(1000-((T7+S7)/2)))/(T7-S7)</f>
        <v>0.002483</v>
      </c>
      <c r="M7" t="str">
        <f>(AN7*(S7-R7))/(100*U7*(1000-S7))*1000</f>
        <v>0.041165</v>
      </c>
      <c r="N7" t="str">
        <v>0.936062</v>
      </c>
      <c r="O7" t="str">
        <v>0.793742</v>
      </c>
      <c r="P7" t="str">
        <f>0.61365*EXP((17.502*AL7)/(240.97+AL7))</f>
        <v>2.452610</v>
      </c>
      <c r="Q7" t="str">
        <f>P7-N7</f>
        <v>1.516548</v>
      </c>
      <c r="R7" t="str">
        <v>8.518282</v>
      </c>
      <c r="S7" t="str">
        <v>10.045628</v>
      </c>
      <c r="T7" t="str">
        <f>(P7/AM7)*1000</f>
        <v>26.320919</v>
      </c>
      <c r="U7" t="str">
        <f>V7*BG7</f>
        <v>0.441786</v>
      </c>
      <c r="V7" t="str">
        <v>7.500000</v>
      </c>
      <c r="W7" t="str">
        <v>PSF-01031_20260118223919_b5d</v>
      </c>
      <c r="X7" t="str">
        <v>89.293243</v>
      </c>
      <c r="Y7" t="str">
        <v>453.529724</v>
      </c>
      <c r="Z7" t="str">
        <v>0.803115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1.743063</v>
      </c>
      <c r="AG7" t="str">
        <v>1.000000</v>
      </c>
      <c r="AH7" t="str">
        <v>38.84</v>
      </c>
      <c r="AI7" t="str">
        <v>32.93</v>
      </c>
      <c r="AJ7" t="str">
        <v>20.43</v>
      </c>
      <c r="AK7" t="str">
        <v>20.72</v>
      </c>
      <c r="AL7" t="str">
        <f>(AK7-AJ7)*(AJ7*0+0)+AK7</f>
        <v>20.72</v>
      </c>
      <c r="AM7" t="str">
        <v>93.18</v>
      </c>
      <c r="AN7" t="str">
        <v>1.2</v>
      </c>
      <c r="AO7" t="str">
        <v>-16.3</v>
      </c>
      <c r="AP7" t="str">
        <v>1482.8</v>
      </c>
      <c r="AQ7" t="str">
        <v>5</v>
      </c>
      <c r="AR7" t="str">
        <v>3.644</v>
      </c>
      <c r="AS7" t="str">
        <v>22:34:50</v>
      </c>
      <c r="AT7" t="str">
        <v>2026-01-18</v>
      </c>
      <c r="AU7" t="str">
        <v>6.85</v>
      </c>
      <c r="AV7" t="str">
        <v>1</v>
      </c>
      <c r="AW7" t="str">
        <v>-0.000</v>
      </c>
      <c r="AX7" t="str">
        <v>-0.000</v>
      </c>
      <c r="AY7" t="str">
        <v>-0.001</v>
      </c>
      <c r="AZ7" t="str">
        <v>0.188</v>
      </c>
      <c r="BA7" t="str">
        <v>-0.003</v>
      </c>
      <c r="BB7" t="str">
        <v>-0.268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2.462712</v>
      </c>
      <c r="CD7" t="str">
        <v>2.427901</v>
      </c>
      <c r="CE7" t="str">
        <v>0.607129</v>
      </c>
      <c r="CF7" t="str">
        <v>0.571910</v>
      </c>
      <c r="CG7" t="str">
        <v>0.327454</v>
      </c>
      <c r="CH7" t="str">
        <v>0.004225</v>
      </c>
      <c r="CI7" t="str">
        <v>0.079695</v>
      </c>
      <c r="CJ7" t="str">
        <v>0.111753</v>
      </c>
      <c r="CK7" t="str">
        <v>89.293243</v>
      </c>
      <c r="CL7" t="str">
        <v>0.000211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PSF-01031_20260118223919_b5d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22:39:42</v>
      </c>
      <c r="C8" t="str">
        <v>2026-01-18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0.004161</v>
      </c>
      <c r="K8" t="str">
        <f>BH8+(BI8*AN8)+(BJ8*AN8*POWER(V8,2))+(BK8*AN8*V8)+(BL8*POWER(AN8,2))</f>
        <v>0.033327</v>
      </c>
      <c r="L8" t="str">
        <f>((M8/1000)*(1000-((T8+S8)/2)))/(T8-S8)</f>
        <v>0.003699</v>
      </c>
      <c r="M8" t="str">
        <f>(AN8*(S8-R8))/(100*U8*(1000-S8))*1000</f>
        <v>0.056569</v>
      </c>
      <c r="N8" t="str">
        <v>1.000196</v>
      </c>
      <c r="O8" t="str">
        <v>0.798677</v>
      </c>
      <c r="P8" t="str">
        <f>0.61365*EXP((17.502*AL8)/(240.97+AL8))</f>
        <v>2.399307</v>
      </c>
      <c r="Q8" t="str">
        <f>P8-N8</f>
        <v>1.399111</v>
      </c>
      <c r="R8" t="str">
        <v>8.571239</v>
      </c>
      <c r="S8" t="str">
        <v>10.733902</v>
      </c>
      <c r="T8" t="str">
        <f>(P8/AM8)*1000</f>
        <v>25.748882</v>
      </c>
      <c r="U8" t="str">
        <f>V8*BG8</f>
        <v>0.441786</v>
      </c>
      <c r="V8" t="str">
        <v>7.500000</v>
      </c>
      <c r="W8" t="str">
        <v>PSF-01031_20260118223942_704</v>
      </c>
      <c r="X8" t="str">
        <v>108.107689</v>
      </c>
      <c r="Y8" t="str">
        <v>505.329956</v>
      </c>
      <c r="Z8" t="str">
        <v>0.786065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1.765438</v>
      </c>
      <c r="AG8" t="str">
        <v>1.000000</v>
      </c>
      <c r="AH8" t="str">
        <v>41.28</v>
      </c>
      <c r="AI8" t="str">
        <v>32.96</v>
      </c>
      <c r="AJ8" t="str">
        <v>20.52</v>
      </c>
      <c r="AK8" t="str">
        <v>20.36</v>
      </c>
      <c r="AL8" t="str">
        <f>(AK8-AJ8)*(AJ8*0+0)+AK8</f>
        <v>20.36</v>
      </c>
      <c r="AM8" t="str">
        <v>93.18</v>
      </c>
      <c r="AN8" t="str">
        <v>1.1</v>
      </c>
      <c r="AO8" t="str">
        <v>-16.0</v>
      </c>
      <c r="AP8" t="str">
        <v>1496.9</v>
      </c>
      <c r="AQ8" t="str">
        <v>6</v>
      </c>
      <c r="AR8" t="str">
        <v>3.642</v>
      </c>
      <c r="AS8" t="str">
        <v>22:34:50</v>
      </c>
      <c r="AT8" t="str">
        <v>2026-01-18</v>
      </c>
      <c r="AU8" t="str">
        <v>6.85</v>
      </c>
      <c r="AV8" t="str">
        <v>1</v>
      </c>
      <c r="AW8" t="str">
        <v>-0.000</v>
      </c>
      <c r="AX8" t="str">
        <v>0.000</v>
      </c>
      <c r="AY8" t="str">
        <v>0.001</v>
      </c>
      <c r="AZ8" t="str">
        <v>0.078</v>
      </c>
      <c r="BA8" t="str">
        <v>-0.099</v>
      </c>
      <c r="BB8" t="str">
        <v>-0.041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2.462749</v>
      </c>
      <c r="CD8" t="str">
        <v>2.431497</v>
      </c>
      <c r="CE8" t="str">
        <v>0.606949</v>
      </c>
      <c r="CF8" t="str">
        <v>0.572499</v>
      </c>
      <c r="CG8" t="str">
        <v>0.326337</v>
      </c>
      <c r="CH8" t="str">
        <v>-0.000725</v>
      </c>
      <c r="CI8" t="str">
        <v>0.082358</v>
      </c>
      <c r="CJ8" t="str">
        <v>0.111927</v>
      </c>
      <c r="CK8" t="str">
        <v>108.107689</v>
      </c>
      <c r="CL8" t="str">
        <v>0.000209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PSF-01031_20260118223942_704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22:40:10</v>
      </c>
      <c r="C9" t="str">
        <v>2026-01-18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0.004208</v>
      </c>
      <c r="K9" t="str">
        <f>BH9+(BI9*AN9)+(BJ9*AN9*POWER(V9,2))+(BK9*AN9*V9)+(BL9*POWER(AN9,2))</f>
        <v>0.033229</v>
      </c>
      <c r="L9" t="str">
        <f>((M9/1000)*(1000-((T9+S9)/2)))/(T9-S9)</f>
        <v>0.003735</v>
      </c>
      <c r="M9" t="str">
        <f>(AN9*(S9-R9))/(100*U9*(1000-S9))*1000</f>
        <v>0.054418</v>
      </c>
      <c r="N9" t="str">
        <v>0.998613</v>
      </c>
      <c r="O9" t="str">
        <v>0.804158</v>
      </c>
      <c r="P9" t="str">
        <f>0.61365*EXP((17.502*AL9)/(240.97+AL9))</f>
        <v>2.332003</v>
      </c>
      <c r="Q9" t="str">
        <f>P9-N9</f>
        <v>1.333390</v>
      </c>
      <c r="R9" t="str">
        <v>8.629189</v>
      </c>
      <c r="S9" t="str">
        <v>10.715822</v>
      </c>
      <c r="T9" t="str">
        <f>(P9/AM9)*1000</f>
        <v>25.024038</v>
      </c>
      <c r="U9" t="str">
        <f>V9*BG9</f>
        <v>0.441786</v>
      </c>
      <c r="V9" t="str">
        <v>7.500000</v>
      </c>
      <c r="W9" t="str">
        <v>PSF-01031_20260118224010_6ef</v>
      </c>
      <c r="X9" t="str">
        <v>95.932961</v>
      </c>
      <c r="Y9" t="str">
        <v>441.294189</v>
      </c>
      <c r="Z9" t="str">
        <v>0.782610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0.487415</v>
      </c>
      <c r="AG9" t="str">
        <v>1.000000</v>
      </c>
      <c r="AH9" t="str">
        <v>40.98</v>
      </c>
      <c r="AI9" t="str">
        <v>33.00</v>
      </c>
      <c r="AJ9" t="str">
        <v>20.61</v>
      </c>
      <c r="AK9" t="str">
        <v>19.90</v>
      </c>
      <c r="AL9" t="str">
        <f>(AK9-AJ9)*(AJ9*0+0)+AK9</f>
        <v>19.90</v>
      </c>
      <c r="AM9" t="str">
        <v>93.19</v>
      </c>
      <c r="AN9" t="str">
        <v>1.1</v>
      </c>
      <c r="AO9" t="str">
        <v>-16.0</v>
      </c>
      <c r="AP9" t="str">
        <v>1502.5</v>
      </c>
      <c r="AQ9" t="str">
        <v>2</v>
      </c>
      <c r="AR9" t="str">
        <v>3.641</v>
      </c>
      <c r="AS9" t="str">
        <v>22:34:50</v>
      </c>
      <c r="AT9" t="str">
        <v>2026-01-18</v>
      </c>
      <c r="AU9" t="str">
        <v>6.85</v>
      </c>
      <c r="AV9" t="str">
        <v>1</v>
      </c>
      <c r="AW9" t="str">
        <v>0.000</v>
      </c>
      <c r="AX9" t="str">
        <v>0.000</v>
      </c>
      <c r="AY9" t="str">
        <v>0.001</v>
      </c>
      <c r="AZ9" t="str">
        <v>-0.134</v>
      </c>
      <c r="BA9" t="str">
        <v>-0.195</v>
      </c>
      <c r="BB9" t="str">
        <v>-0.256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2.462785</v>
      </c>
      <c r="CD9" t="str">
        <v>2.431033</v>
      </c>
      <c r="CE9" t="str">
        <v>0.606932</v>
      </c>
      <c r="CF9" t="str">
        <v>0.572470</v>
      </c>
      <c r="CG9" t="str">
        <v>0.325094</v>
      </c>
      <c r="CH9" t="str">
        <v>-0.006922</v>
      </c>
      <c r="CI9" t="str">
        <v>0.085453</v>
      </c>
      <c r="CJ9" t="str">
        <v>0.108185</v>
      </c>
      <c r="CK9" t="str">
        <v>95.932961</v>
      </c>
      <c r="CL9" t="str">
        <v>0.000208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PSF-01031_20260118224010_6ef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22:40:38</v>
      </c>
      <c r="C10" t="str">
        <v>2026-01-18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0.003657</v>
      </c>
      <c r="K10" t="str">
        <f>BH10+(BI10*AN10)+(BJ10*AN10*POWER(V10,2))+(BK10*AN10*V10)+(BL10*POWER(AN10,2))</f>
        <v>0.035933</v>
      </c>
      <c r="L10" t="str">
        <f>((M10/1000)*(1000-((T10+S10)/2)))/(T10-S10)</f>
        <v>0.003319</v>
      </c>
      <c r="M10" t="str">
        <f>(AN10*(S10-R10))/(100*U10*(1000-S10))*1000</f>
        <v>0.057734</v>
      </c>
      <c r="N10" t="str">
        <v>1.000349</v>
      </c>
      <c r="O10" t="str">
        <v>0.809628</v>
      </c>
      <c r="P10" t="str">
        <f>0.61365*EXP((17.502*AL10)/(240.97+AL10))</f>
        <v>2.589931</v>
      </c>
      <c r="Q10" t="str">
        <f>P10-N10</f>
        <v>1.589581</v>
      </c>
      <c r="R10" t="str">
        <v>8.688459</v>
      </c>
      <c r="S10" t="str">
        <v>10.735176</v>
      </c>
      <c r="T10" t="str">
        <f>(P10/AM10)*1000</f>
        <v>27.793653</v>
      </c>
      <c r="U10" t="str">
        <f>V10*BG10</f>
        <v>0.441786</v>
      </c>
      <c r="V10" t="str">
        <v>7.500000</v>
      </c>
      <c r="W10" t="str">
        <v>PSF-01031_20260118224038_5bd</v>
      </c>
      <c r="X10" t="str">
        <v>111.810921</v>
      </c>
      <c r="Y10" t="str">
        <v>524.097534</v>
      </c>
      <c r="Z10" t="str">
        <v>0.786660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1.865001</v>
      </c>
      <c r="AG10" t="str">
        <v>1.000000</v>
      </c>
      <c r="AH10" t="str">
        <v>40.79</v>
      </c>
      <c r="AI10" t="str">
        <v>33.01</v>
      </c>
      <c r="AJ10" t="str">
        <v>20.71</v>
      </c>
      <c r="AK10" t="str">
        <v>21.60</v>
      </c>
      <c r="AL10" t="str">
        <f>(AK10-AJ10)*(AJ10*0+0)+AK10</f>
        <v>21.60</v>
      </c>
      <c r="AM10" t="str">
        <v>93.18</v>
      </c>
      <c r="AN10" t="str">
        <v>1.2</v>
      </c>
      <c r="AO10" t="str">
        <v>-16.7</v>
      </c>
      <c r="AP10" t="str">
        <v>1453.9</v>
      </c>
      <c r="AQ10" t="str">
        <v>6</v>
      </c>
      <c r="AR10" t="str">
        <v>3.637</v>
      </c>
      <c r="AS10" t="str">
        <v>22:34:50</v>
      </c>
      <c r="AT10" t="str">
        <v>2026-01-18</v>
      </c>
      <c r="AU10" t="str">
        <v>6.85</v>
      </c>
      <c r="AV10" t="str">
        <v>1</v>
      </c>
      <c r="AW10" t="str">
        <v>-0.000</v>
      </c>
      <c r="AX10" t="str">
        <v>0.000</v>
      </c>
      <c r="AY10" t="str">
        <v>0.000</v>
      </c>
      <c r="AZ10" t="str">
        <v>0.278</v>
      </c>
      <c r="BA10" t="str">
        <v>0.346</v>
      </c>
      <c r="BB10" t="str">
        <v>0.552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2.462798</v>
      </c>
      <c r="CD10" t="str">
        <v>2.430748</v>
      </c>
      <c r="CE10" t="str">
        <v>0.607404</v>
      </c>
      <c r="CF10" t="str">
        <v>0.571213</v>
      </c>
      <c r="CG10" t="str">
        <v>0.323771</v>
      </c>
      <c r="CH10" t="str">
        <v>0.011058</v>
      </c>
      <c r="CI10" t="str">
        <v>0.088588</v>
      </c>
      <c r="CJ10" t="str">
        <v>0.112215</v>
      </c>
      <c r="CK10" t="str">
        <v>111.810921</v>
      </c>
      <c r="CL10" t="str">
        <v>0.000212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PSF-01031_20260118224038_5bd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</sheetData>
  <ignoredErrors>
    <ignoredError numberStoredAsText="1" sqref="A1:D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