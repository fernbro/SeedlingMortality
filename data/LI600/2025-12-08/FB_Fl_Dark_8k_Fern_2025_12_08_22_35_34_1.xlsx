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B_Fl_Dark_8k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C23"/>
  <sheetViews>
    <sheetView workbookViewId="0"/>
  </sheetViews>
  <sheetData>
    <row r="1">
      <c r="A1" t="str">
        <v>SYS</v>
      </c>
      <c r="B1" t="str">
        <v>SYS</v>
      </c>
      <c r="C1" t="str">
        <v>SYS</v>
      </c>
      <c r="D1" t="str">
        <v>SYS</v>
      </c>
      <c r="E1" t="str">
        <v>SYS</v>
      </c>
      <c r="F1" t="str">
        <v>USERDEF</v>
      </c>
      <c r="G1" t="str">
        <v>USERDEF</v>
      </c>
      <c r="H1" t="str">
        <v>USERDEF</v>
      </c>
      <c r="I1" t="str">
        <v>USERDEF</v>
      </c>
      <c r="J1" t="str">
        <v>PORO</v>
      </c>
      <c r="K1" t="str">
        <v>PORO</v>
      </c>
      <c r="L1" t="str">
        <v>PORO</v>
      </c>
      <c r="M1" t="str">
        <v>PORO</v>
      </c>
      <c r="N1" t="str">
        <v>PORO</v>
      </c>
      <c r="O1" t="str">
        <v>PORO</v>
      </c>
      <c r="P1" t="str">
        <v>PORO</v>
      </c>
      <c r="Q1" t="str">
        <v>PORO</v>
      </c>
      <c r="R1" t="str">
        <v>PORO</v>
      </c>
      <c r="S1" t="str">
        <v>PORO</v>
      </c>
      <c r="T1" t="str">
        <v>PORO</v>
      </c>
      <c r="U1" t="str">
        <v>PORO</v>
      </c>
      <c r="V1" t="str">
        <v>PORO</v>
      </c>
      <c r="W1" t="str">
        <v>FLUORO</v>
      </c>
      <c r="X1" t="str">
        <v>FLUORO</v>
      </c>
      <c r="Y1" t="str">
        <v>FLUORO</v>
      </c>
      <c r="Z1" t="str">
        <v>FLUORO</v>
      </c>
      <c r="AA1" t="str">
        <v>FLUORO</v>
      </c>
      <c r="AB1" t="str">
        <v>FLUORO</v>
      </c>
      <c r="AC1" t="str">
        <v>FLUORO</v>
      </c>
      <c r="AD1" t="str">
        <v>FLUORO</v>
      </c>
      <c r="AE1" t="str">
        <v>FLUORO</v>
      </c>
      <c r="AF1" t="str">
        <v>FLUORO</v>
      </c>
      <c r="AG1" t="str">
        <v>FLUORO</v>
      </c>
      <c r="AH1" t="str">
        <v>SENSOR</v>
      </c>
      <c r="AI1" t="str">
        <v>SENSOR</v>
      </c>
      <c r="AJ1" t="str">
        <v>SENSOR</v>
      </c>
      <c r="AK1" t="str">
        <v>SENSOR</v>
      </c>
      <c r="AL1" t="str">
        <v>SENSOR</v>
      </c>
      <c r="AM1" t="str">
        <v>SENSOR</v>
      </c>
      <c r="AN1" t="str">
        <v>SENSOR</v>
      </c>
      <c r="AO1" t="str">
        <v>SENSOR</v>
      </c>
      <c r="AP1" t="str">
        <v>SENSOR</v>
      </c>
      <c r="AQ1" t="str">
        <v>SENSOR</v>
      </c>
      <c r="AR1" t="str">
        <v>SENSOR</v>
      </c>
      <c r="AS1" t="str">
        <v>MATCH</v>
      </c>
      <c r="AT1" t="str">
        <v>MATCH</v>
      </c>
      <c r="AU1" t="str">
        <v>MATCH</v>
      </c>
      <c r="AV1" t="str">
        <v>MATCH</v>
      </c>
      <c r="AW1" t="str">
        <v>STABILITY</v>
      </c>
      <c r="AX1" t="str">
        <v>STABILITY</v>
      </c>
      <c r="AY1" t="str">
        <v>STABILITY</v>
      </c>
      <c r="AZ1" t="str">
        <v>STABILITY</v>
      </c>
      <c r="BA1" t="str">
        <v>STABILITY</v>
      </c>
      <c r="BB1" t="str">
        <v>STABILITY</v>
      </c>
      <c r="BC1" t="str">
        <v>P_CONFIG</v>
      </c>
      <c r="BD1" t="str">
        <v>P_CONFIG</v>
      </c>
      <c r="BE1" t="str">
        <v>P_CONFIG</v>
      </c>
      <c r="BF1" t="str">
        <v>P_CONFIG</v>
      </c>
      <c r="BG1" t="str">
        <v>P_CONFIG</v>
      </c>
      <c r="BH1" t="str">
        <v>P_CONFIG</v>
      </c>
      <c r="BI1" t="str">
        <v>P_CONFIG</v>
      </c>
      <c r="BJ1" t="str">
        <v>P_CONFIG</v>
      </c>
      <c r="BK1" t="str">
        <v>P_CONFIG</v>
      </c>
      <c r="BL1" t="str">
        <v>P_CONFIG</v>
      </c>
      <c r="BM1" t="str">
        <v>P_CONFIG</v>
      </c>
      <c r="BN1" t="str">
        <v>FL_CONFIG</v>
      </c>
      <c r="BO1" t="str">
        <v>FL_CONFIG</v>
      </c>
      <c r="BP1" t="str">
        <v>FL_CONFIG</v>
      </c>
      <c r="BQ1" t="str">
        <v>FL_CONFIG</v>
      </c>
      <c r="BR1" t="str">
        <v>FL_CONFIG</v>
      </c>
      <c r="BS1" t="str">
        <v>FL_CONFIG</v>
      </c>
      <c r="BT1" t="str">
        <v>FL_CONFIG</v>
      </c>
      <c r="BU1" t="str">
        <v>FL_CONFIG</v>
      </c>
      <c r="BV1" t="str">
        <v>FL_CONFIG</v>
      </c>
      <c r="BW1" t="str">
        <v>FL_CONFIG</v>
      </c>
      <c r="BX1" t="str">
        <v>FL_CONFIG</v>
      </c>
      <c r="BY1" t="str">
        <v>FL_CONFIG</v>
      </c>
      <c r="BZ1" t="str">
        <v>FL_CONFIG</v>
      </c>
      <c r="CA1" t="str">
        <v>FL_CONFIG</v>
      </c>
      <c r="CB1" t="str">
        <v>FL_CONFIG</v>
      </c>
      <c r="CC1" t="str">
        <v>SENSOR_V</v>
      </c>
      <c r="CD1" t="str">
        <v>SENSOR_V</v>
      </c>
      <c r="CE1" t="str">
        <v>SENSOR_V</v>
      </c>
      <c r="CF1" t="str">
        <v>SENSOR_V</v>
      </c>
      <c r="CG1" t="str">
        <v>SENSOR_V</v>
      </c>
      <c r="CH1" t="str">
        <v>SENSOR_V</v>
      </c>
      <c r="CI1" t="str">
        <v>SENSOR_V</v>
      </c>
      <c r="CJ1" t="str">
        <v>SENSOR_V</v>
      </c>
      <c r="CK1" t="str">
        <v>SENSOR_V</v>
      </c>
      <c r="CL1" t="str">
        <v>SENSOR_V</v>
      </c>
      <c r="CM1" t="str">
        <v>USERCAL</v>
      </c>
      <c r="CN1" t="str">
        <v>USERCAL</v>
      </c>
      <c r="CO1" t="str">
        <v>USERCAL</v>
      </c>
      <c r="CP1" t="str">
        <v>USERCAL</v>
      </c>
      <c r="CQ1" t="str">
        <v>USERCAL</v>
      </c>
      <c r="CR1" t="str">
        <v>USERCAL</v>
      </c>
      <c r="CS1" t="str">
        <v>USERCAL</v>
      </c>
      <c r="CT1" t="str">
        <v>USERCAL</v>
      </c>
      <c r="CU1" t="str">
        <v>USERCAL</v>
      </c>
      <c r="CV1" t="str">
        <v>USERCAL</v>
      </c>
      <c r="CW1" t="str">
        <v>META</v>
      </c>
      <c r="CX1" t="str">
        <v>META</v>
      </c>
      <c r="CY1" t="str">
        <v>META</v>
      </c>
      <c r="CZ1" t="str">
        <v>META</v>
      </c>
      <c r="DA1" t="str">
        <v>META</v>
      </c>
      <c r="DB1" t="str">
        <v>META</v>
      </c>
      <c r="DC1" t="str">
        <v>META</v>
      </c>
    </row>
    <row r="2">
      <c r="A2" t="str">
        <v>Obs#</v>
      </c>
      <c r="B2" t="str">
        <v>Time</v>
      </c>
      <c r="C2" t="str">
        <v>Date</v>
      </c>
      <c r="D2" t="str">
        <v>configName</v>
      </c>
      <c r="E2" t="str">
        <v>configAuthor</v>
      </c>
      <c r="F2" t="str">
        <v>remark</v>
      </c>
      <c r="G2" t="str">
        <v/>
      </c>
      <c r="H2" t="str">
        <v/>
      </c>
      <c r="I2" t="str">
        <v/>
      </c>
      <c r="J2" t="str">
        <v>gsw</v>
      </c>
      <c r="K2" t="str">
        <v>gbw</v>
      </c>
      <c r="L2" t="str">
        <v>gtw</v>
      </c>
      <c r="M2" t="str">
        <v>E_apparent</v>
      </c>
      <c r="N2" t="str">
        <v>VPcham</v>
      </c>
      <c r="O2" t="str">
        <v>VPref</v>
      </c>
      <c r="P2" t="str">
        <v>VPleaf</v>
      </c>
      <c r="Q2" t="str">
        <v>VPDleaf</v>
      </c>
      <c r="R2" t="str">
        <v>H2O_r</v>
      </c>
      <c r="S2" t="str">
        <v>H2O_s</v>
      </c>
      <c r="T2" t="str">
        <v>H2O_leaf</v>
      </c>
      <c r="U2" t="str">
        <v>leaf_area</v>
      </c>
      <c r="V2" t="str">
        <v>leaf_width</v>
      </c>
      <c r="W2" t="str">
        <v>flashID</v>
      </c>
      <c r="X2" t="str">
        <v>Fo</v>
      </c>
      <c r="Y2" t="str">
        <v>Fm</v>
      </c>
      <c r="Z2" t="str">
        <v>Fv/Fm</v>
      </c>
      <c r="AA2" t="str">
        <v>Fs</v>
      </c>
      <c r="AB2" t="str">
        <v>Fm'</v>
      </c>
      <c r="AC2" t="str">
        <v>PhiPS2</v>
      </c>
      <c r="AD2" t="str">
        <v>PS2/1</v>
      </c>
      <c r="AE2" t="str">
        <v>abs</v>
      </c>
      <c r="AF2" t="str">
        <v>ETR</v>
      </c>
      <c r="AG2" t="str">
        <v>TRANS</v>
      </c>
      <c r="AH2" t="str">
        <v>rh_s</v>
      </c>
      <c r="AI2" t="str">
        <v>rh_r</v>
      </c>
      <c r="AJ2" t="str">
        <v>Tref</v>
      </c>
      <c r="AK2" t="str">
        <v>Tmeas</v>
      </c>
      <c r="AL2" t="str">
        <v>Tleaf</v>
      </c>
      <c r="AM2" t="str">
        <v>P_atm</v>
      </c>
      <c r="AN2" t="str">
        <v>flow</v>
      </c>
      <c r="AO2" t="str">
        <v>flow_s</v>
      </c>
      <c r="AP2" t="str">
        <v>leak_pct</v>
      </c>
      <c r="AQ2" t="str">
        <v>Qamb</v>
      </c>
      <c r="AR2" t="str">
        <v>batt</v>
      </c>
      <c r="AS2" t="str">
        <v>match_time</v>
      </c>
      <c r="AT2" t="str">
        <v>match_date</v>
      </c>
      <c r="AU2" t="str">
        <v>rh_adj</v>
      </c>
      <c r="AV2" t="str">
        <v>type</v>
      </c>
      <c r="AW2" t="str">
        <v>gsw1sec</v>
      </c>
      <c r="AX2" t="str">
        <v>gsw2sec</v>
      </c>
      <c r="AY2" t="str">
        <v>gsw4sec</v>
      </c>
      <c r="AZ2" t="str">
        <v>flr1sec</v>
      </c>
      <c r="BA2" t="str">
        <v>flr2sec</v>
      </c>
      <c r="BB2" t="str">
        <v>flr4sec</v>
      </c>
      <c r="BC2" t="str">
        <v>auto</v>
      </c>
      <c r="BD2" t="str">
        <v>flow_set</v>
      </c>
      <c r="BE2" t="str">
        <v>gsw_limit</v>
      </c>
      <c r="BF2" t="str">
        <v>gsw_period</v>
      </c>
      <c r="BG2" t="str">
        <v>aw</v>
      </c>
      <c r="BH2" t="str">
        <v>Bla</v>
      </c>
      <c r="BI2" t="str">
        <v>Blb</v>
      </c>
      <c r="BJ2" t="str">
        <v>Blc</v>
      </c>
      <c r="BK2" t="str">
        <v>Bld</v>
      </c>
      <c r="BL2" t="str">
        <v>Ble</v>
      </c>
      <c r="BM2" t="str">
        <v>chamber</v>
      </c>
      <c r="BN2" t="str">
        <v>dark</v>
      </c>
      <c r="BO2" t="str">
        <v>flash_type</v>
      </c>
      <c r="BP2" t="str">
        <v>flash_intensity</v>
      </c>
      <c r="BQ2" t="str">
        <v>modrate</v>
      </c>
      <c r="BR2" t="str">
        <v>flr_limit</v>
      </c>
      <c r="BS2" t="str">
        <v>flr_period</v>
      </c>
      <c r="BT2" t="str">
        <v>P1_dur</v>
      </c>
      <c r="BU2" t="str">
        <v>P2_dur</v>
      </c>
      <c r="BV2" t="str">
        <v>P3_dur</v>
      </c>
      <c r="BW2" t="str">
        <v>P1_Fmax</v>
      </c>
      <c r="BX2" t="str">
        <v>P2_ramp</v>
      </c>
      <c r="BY2" t="str">
        <v>P2_slp</v>
      </c>
      <c r="BZ2" t="str">
        <v>P3_Fmax</v>
      </c>
      <c r="CA2" t="str">
        <v>P3_Pred</v>
      </c>
      <c r="CB2" t="str">
        <v>P3_DeltaF</v>
      </c>
      <c r="CC2" t="str">
        <v>v_humA</v>
      </c>
      <c r="CD2" t="str">
        <v>v_humB</v>
      </c>
      <c r="CE2" t="str">
        <v>v_flowIn</v>
      </c>
      <c r="CF2" t="str">
        <v>v_flowOut</v>
      </c>
      <c r="CG2" t="str">
        <v>v_temp</v>
      </c>
      <c r="CH2" t="str">
        <v>v_irt</v>
      </c>
      <c r="CI2" t="str">
        <v>v_pres</v>
      </c>
      <c r="CJ2" t="str">
        <v>v_par</v>
      </c>
      <c r="CK2" t="str">
        <v>v_F</v>
      </c>
      <c r="CL2" t="str">
        <v>i_LED</v>
      </c>
      <c r="CM2" t="str">
        <v>b_rhr</v>
      </c>
      <c r="CN2" t="str">
        <v>m_rhr</v>
      </c>
      <c r="CO2" t="str">
        <v>span_rhr</v>
      </c>
      <c r="CP2" t="str">
        <v>b_rhs</v>
      </c>
      <c r="CQ2" t="str">
        <v>m_rhs</v>
      </c>
      <c r="CR2" t="str">
        <v>span_rhs</v>
      </c>
      <c r="CS2" t="str">
        <v>z_flowIn</v>
      </c>
      <c r="CT2" t="str">
        <v>z_flowOut</v>
      </c>
      <c r="CU2" t="str">
        <v>z_quantum</v>
      </c>
      <c r="CV2" t="str">
        <v>z_flr</v>
      </c>
      <c r="CW2" t="str">
        <v>flashId</v>
      </c>
      <c r="CX2" t="str">
        <v>lciSerNum</v>
      </c>
      <c r="CY2" t="str">
        <v>lcpSerNum</v>
      </c>
      <c r="CZ2" t="str">
        <v>lcfSerNum</v>
      </c>
      <c r="DA2" t="str">
        <v>lcrhSerNum</v>
      </c>
      <c r="DB2" t="str">
        <v>version</v>
      </c>
      <c r="DC2" t="str">
        <v>configUpdatedAt</v>
      </c>
    </row>
    <row r="3">
      <c r="A3" t="str">
        <v/>
      </c>
      <c r="B3" t="str">
        <v>HHMMSS</v>
      </c>
      <c r="C3" t="str">
        <v>YYYYMMDD</v>
      </c>
      <c r="D3" t="str">
        <v/>
      </c>
      <c r="E3" t="str">
        <v/>
      </c>
      <c r="F3" t="str">
        <v/>
      </c>
      <c r="G3" t="str">
        <v/>
      </c>
      <c r="H3" t="str">
        <v/>
      </c>
      <c r="I3" t="str">
        <v/>
      </c>
      <c r="J3" t="str">
        <v>mol+1m-2s-1</v>
      </c>
      <c r="K3" t="str">
        <v>mol+1m-2s-1</v>
      </c>
      <c r="L3" t="str">
        <v>mol+1m-2s-1</v>
      </c>
      <c r="M3" t="str">
        <v>mmol+1m-2s-1</v>
      </c>
      <c r="N3" t="str">
        <v>kPa</v>
      </c>
      <c r="O3" t="str">
        <v>kPa</v>
      </c>
      <c r="P3" t="str">
        <v>kPa</v>
      </c>
      <c r="Q3" t="str">
        <v>kPa</v>
      </c>
      <c r="R3" t="str">
        <v>mmol+1mol-1</v>
      </c>
      <c r="S3" t="str">
        <v>mmol+1mol-1</v>
      </c>
      <c r="T3" t="str">
        <v>mmol+1mol-1</v>
      </c>
      <c r="U3" t="str">
        <v>cm+2</v>
      </c>
      <c r="V3" t="str">
        <v>mm</v>
      </c>
      <c r="W3" t="str">
        <v/>
      </c>
      <c r="X3" t="str">
        <v/>
      </c>
      <c r="Y3" t="str">
        <v/>
      </c>
      <c r="Z3" t="str">
        <v/>
      </c>
      <c r="AA3" t="str">
        <v/>
      </c>
      <c r="AB3" t="str">
        <v/>
      </c>
      <c r="AC3" t="str">
        <v/>
      </c>
      <c r="AD3" t="str">
        <v/>
      </c>
      <c r="AE3" t="str">
        <v/>
      </c>
      <c r="AF3" t="str">
        <v>umol+1m-2s-1</v>
      </c>
      <c r="AG3" t="str">
        <v/>
      </c>
      <c r="AH3" t="str">
        <v>%</v>
      </c>
      <c r="AI3" t="str">
        <v>%</v>
      </c>
      <c r="AJ3" t="str">
        <v>C</v>
      </c>
      <c r="AK3" t="str">
        <v>C</v>
      </c>
      <c r="AL3" t="str">
        <v>C</v>
      </c>
      <c r="AM3" t="str">
        <v>kPa</v>
      </c>
      <c r="AN3" t="str">
        <v>umol+1sec-1</v>
      </c>
      <c r="AO3" t="str">
        <v>umol+1sec-1</v>
      </c>
      <c r="AP3" t="str">
        <v>%</v>
      </c>
      <c r="AQ3" t="str">
        <v>umol+1m-2s-1</v>
      </c>
      <c r="AR3" t="str">
        <v>V</v>
      </c>
      <c r="AS3" t="str">
        <v>HHMMSS</v>
      </c>
      <c r="AT3" t="str">
        <v>YYYYMMDD</v>
      </c>
      <c r="AU3" t="str">
        <v>%</v>
      </c>
      <c r="AV3" t="str">
        <v/>
      </c>
      <c r="AW3" t="str">
        <v/>
      </c>
      <c r="AX3" t="str">
        <v/>
      </c>
      <c r="AY3" t="str">
        <v/>
      </c>
      <c r="AZ3" t="str">
        <v/>
      </c>
      <c r="BA3" t="str">
        <v/>
      </c>
      <c r="BB3" t="str">
        <v/>
      </c>
      <c r="BC3" t="str">
        <v/>
      </c>
      <c r="BD3" t="str">
        <v>umol+1sec-1</v>
      </c>
      <c r="BE3" t="str">
        <v>(umol+1m-2s-1)s-1</v>
      </c>
      <c r="BF3" t="str">
        <v>s</v>
      </c>
      <c r="BG3" t="str">
        <v/>
      </c>
      <c r="BH3" t="str">
        <v/>
      </c>
      <c r="BI3" t="str">
        <v/>
      </c>
      <c r="BJ3" t="str">
        <v/>
      </c>
      <c r="BK3" t="str">
        <v/>
      </c>
      <c r="BL3" t="str">
        <v/>
      </c>
      <c r="BM3" t="str">
        <v/>
      </c>
      <c r="BN3" t="str">
        <v/>
      </c>
      <c r="BO3" t="str">
        <v/>
      </c>
      <c r="BP3" t="str">
        <v>umol+1m-2s-1</v>
      </c>
      <c r="BQ3" t="str">
        <v>Hz</v>
      </c>
      <c r="BR3" t="str">
        <v>s-1</v>
      </c>
      <c r="BS3" t="str">
        <v>s</v>
      </c>
      <c r="BT3" t="str">
        <v>ms</v>
      </c>
      <c r="BU3" t="str">
        <v>ms</v>
      </c>
      <c r="BV3" t="str">
        <v>ms</v>
      </c>
      <c r="BW3" t="str">
        <v/>
      </c>
      <c r="BX3" t="str">
        <v>%</v>
      </c>
      <c r="BY3" t="str">
        <v/>
      </c>
      <c r="BZ3" t="str">
        <v/>
      </c>
      <c r="CA3" t="str">
        <v/>
      </c>
      <c r="CB3" t="str">
        <v/>
      </c>
      <c r="CC3" t="str">
        <v>V</v>
      </c>
      <c r="CD3" t="str">
        <v>V</v>
      </c>
      <c r="CE3" t="str">
        <v>V</v>
      </c>
      <c r="CF3" t="str">
        <v>V</v>
      </c>
      <c r="CG3" t="str">
        <v>V</v>
      </c>
      <c r="CH3" t="str">
        <v>V</v>
      </c>
      <c r="CI3" t="str">
        <v>V</v>
      </c>
      <c r="CJ3" t="str">
        <v>V</v>
      </c>
      <c r="CK3" t="str">
        <v>V</v>
      </c>
      <c r="CL3" t="str">
        <v>A</v>
      </c>
      <c r="CM3" t="str">
        <v/>
      </c>
      <c r="CN3" t="str">
        <v/>
      </c>
      <c r="CO3" t="str">
        <v/>
      </c>
      <c r="CP3" t="str">
        <v/>
      </c>
      <c r="CQ3" t="str">
        <v/>
      </c>
      <c r="CR3" t="str">
        <v/>
      </c>
      <c r="CS3" t="str">
        <v/>
      </c>
      <c r="CT3" t="str">
        <v/>
      </c>
      <c r="CU3" t="str">
        <v/>
      </c>
      <c r="CV3" t="str">
        <v/>
      </c>
      <c r="CW3" t="str">
        <v/>
      </c>
      <c r="CX3" t="str">
        <v/>
      </c>
      <c r="CY3" t="str">
        <v/>
      </c>
      <c r="CZ3" t="str">
        <v/>
      </c>
      <c r="DA3" t="str">
        <v/>
      </c>
      <c r="DB3" t="str">
        <v/>
      </c>
      <c r="DC3" t="str">
        <v/>
      </c>
    </row>
    <row r="4">
      <c r="A4" t="str">
        <v>1</v>
      </c>
      <c r="B4" t="str">
        <v>22:27:35</v>
      </c>
      <c r="C4" t="str">
        <v>2025-12-08</v>
      </c>
      <c r="D4" t="str">
        <v>FB_Fl_Dark_8k</v>
      </c>
      <c r="E4" t="str">
        <v>Fern</v>
      </c>
      <c r="F4" t="str">
        <v/>
      </c>
      <c r="G4" t="str">
        <v/>
      </c>
      <c r="H4" t="str">
        <v/>
      </c>
      <c r="I4" t="str">
        <v/>
      </c>
      <c r="J4" t="str">
        <f>1/((1/L4)-(1/K4))</f>
        <v>0.005006</v>
      </c>
      <c r="K4" t="str">
        <f>BH4+(BI4*AN4)+(BJ4*AN4*POWER(V4,2))+(BK4*AN4*V4)+(BL4*POWER(AN4,2))</f>
        <v>0.034924</v>
      </c>
      <c r="L4" t="str">
        <f>((M4/1000)*(1000-((T4+S4)/2)))/(T4-S4)</f>
        <v>0.004379</v>
      </c>
      <c r="M4" t="str">
        <f>(AN4*(S4-R4))/(100*U4*(1000-S4))*1000</f>
        <v>0.034088</v>
      </c>
      <c r="N4" t="str">
        <v>1.041216</v>
      </c>
      <c r="O4" t="str">
        <v>0.925133</v>
      </c>
      <c r="P4" t="str">
        <f>0.61365*EXP((17.502*AL4)/(240.97+AL4))</f>
        <v>1.757382</v>
      </c>
      <c r="Q4" t="str">
        <f>P4-N4</f>
        <v>0.716166</v>
      </c>
      <c r="R4" t="str">
        <v>9.905704</v>
      </c>
      <c r="S4" t="str">
        <v>11.148637</v>
      </c>
      <c r="T4" t="str">
        <f>(P4/AM4)*1000</f>
        <v>18.816862</v>
      </c>
      <c r="U4" t="str">
        <f>V4*BG4</f>
        <v>0.441786</v>
      </c>
      <c r="V4" t="str">
        <v>7.500000</v>
      </c>
      <c r="W4" t="str">
        <v>PSF-01031_20251208222735_403</v>
      </c>
      <c r="X4" t="str">
        <v>95.898987</v>
      </c>
      <c r="Y4" t="str">
        <v>509.019623</v>
      </c>
      <c r="Z4" t="str">
        <v>0.811601</v>
      </c>
      <c r="AA4" t="str">
        <v>0.000000</v>
      </c>
      <c r="AB4" t="str">
        <v>0.000000</v>
      </c>
      <c r="AC4" t="str">
        <v>0.000000</v>
      </c>
      <c r="AD4" t="str">
        <v>0.5</v>
      </c>
      <c r="AE4" t="str">
        <v>0.80</v>
      </c>
      <c r="AF4" t="str">
        <f>AC4*AD4*AE4*AQ4</f>
        <v>1.688212</v>
      </c>
      <c r="AG4" t="str">
        <v>1.000000</v>
      </c>
      <c r="AH4" t="str">
        <v>44.17</v>
      </c>
      <c r="AI4" t="str">
        <v>39.24</v>
      </c>
      <c r="AJ4" t="str">
        <v>20.07</v>
      </c>
      <c r="AK4" t="str">
        <v>15.41</v>
      </c>
      <c r="AL4" t="str">
        <f>(AK4-AJ4)*(AJ4*0+0)+AK4</f>
        <v>15.41</v>
      </c>
      <c r="AM4" t="str">
        <v>93.39</v>
      </c>
      <c r="AN4" t="str">
        <v>1.2</v>
      </c>
      <c r="AO4" t="str">
        <v>-15.8</v>
      </c>
      <c r="AP4" t="str">
        <v>1418.1</v>
      </c>
      <c r="AQ4" t="str">
        <v>5</v>
      </c>
      <c r="AR4" t="str">
        <v>3.921</v>
      </c>
      <c r="AS4" t="str">
        <v>22:26:57</v>
      </c>
      <c r="AT4" t="str">
        <v>2025-12-08</v>
      </c>
      <c r="AU4" t="str">
        <v>6.66</v>
      </c>
      <c r="AV4" t="str">
        <v>1</v>
      </c>
      <c r="AW4" t="str">
        <v>0.000</v>
      </c>
      <c r="AX4" t="str">
        <v>0.001</v>
      </c>
      <c r="AY4" t="str">
        <v>0.003</v>
      </c>
      <c r="AZ4" t="str">
        <v>0.246</v>
      </c>
      <c r="BA4" t="str">
        <v>0.199</v>
      </c>
      <c r="BB4" t="str">
        <v>0.224</v>
      </c>
      <c r="BC4" t="str">
        <v>0</v>
      </c>
      <c r="BD4" t="str">
        <v>150</v>
      </c>
      <c r="BE4" t="str">
        <v>-9999.000</v>
      </c>
      <c r="BF4" t="str">
        <v>-9999.000000</v>
      </c>
      <c r="BG4" t="str">
        <v>0.058905</v>
      </c>
      <c r="BH4" t="str">
        <v>0.000000</v>
      </c>
      <c r="BI4" t="str">
        <v>0.029230</v>
      </c>
      <c r="BJ4" t="str">
        <v>0.000000</v>
      </c>
      <c r="BK4" t="str">
        <v>0.000000</v>
      </c>
      <c r="BL4" t="str">
        <v>-0.000068</v>
      </c>
      <c r="BM4" t="str">
        <v>standard</v>
      </c>
      <c r="BN4" t="str">
        <v>1</v>
      </c>
      <c r="BO4" t="str">
        <v>rectangular</v>
      </c>
      <c r="BP4" t="str">
        <v>8000</v>
      </c>
      <c r="BQ4" t="str">
        <v>5</v>
      </c>
      <c r="BR4" t="str">
        <v>-9999.000000</v>
      </c>
      <c r="BS4" t="str">
        <v>-9999.000000</v>
      </c>
      <c r="BT4" t="str">
        <v>55537</v>
      </c>
      <c r="BU4" t="str">
        <v>55537</v>
      </c>
      <c r="BV4" t="str">
        <v>55537</v>
      </c>
      <c r="BW4" t="str">
        <v>0.000000</v>
      </c>
      <c r="BX4" t="str">
        <v>-9999</v>
      </c>
      <c r="BY4" t="str">
        <v>0.000000</v>
      </c>
      <c r="BZ4" t="str">
        <v>0.000000</v>
      </c>
      <c r="CA4" t="str">
        <v>0.000000</v>
      </c>
      <c r="CB4" t="str">
        <v>0.000000</v>
      </c>
      <c r="CC4" t="str">
        <v>2.472239</v>
      </c>
      <c r="CD4" t="str">
        <v>2.436047</v>
      </c>
      <c r="CE4" t="str">
        <v>0.607228</v>
      </c>
      <c r="CF4" t="str">
        <v>0.572815</v>
      </c>
      <c r="CG4" t="str">
        <v>0.332198</v>
      </c>
      <c r="CH4" t="str">
        <v>-0.049644</v>
      </c>
      <c r="CI4" t="str">
        <v>0.049975</v>
      </c>
      <c r="CJ4" t="str">
        <v>0.111545</v>
      </c>
      <c r="CK4" t="str">
        <v>95.898987</v>
      </c>
      <c r="CL4" t="str">
        <v>0.000210</v>
      </c>
      <c r="CM4" t="str">
        <v>2.405086</v>
      </c>
      <c r="CN4" t="str">
        <v>0.000013</v>
      </c>
      <c r="CO4" t="str">
        <v>1.000000</v>
      </c>
      <c r="CP4" t="str">
        <v>2.372866</v>
      </c>
      <c r="CQ4" t="str">
        <v>0.000011</v>
      </c>
      <c r="CR4" t="str">
        <v>1.000000</v>
      </c>
      <c r="CS4" t="str">
        <v>0.601157</v>
      </c>
      <c r="CT4" t="str">
        <v>0.601293</v>
      </c>
      <c r="CU4" t="str">
        <v>0.106749</v>
      </c>
      <c r="CV4" t="str">
        <v>0.000000</v>
      </c>
      <c r="CW4" t="str">
        <v>PSF-01031_20251208222735_403</v>
      </c>
      <c r="CX4" t="str">
        <v>PFA-00872</v>
      </c>
      <c r="CY4" t="str">
        <v>PSA-00872</v>
      </c>
      <c r="CZ4" t="str">
        <v>PSF-01031</v>
      </c>
      <c r="DA4" t="str">
        <v>RHS-0785</v>
      </c>
      <c r="DB4" t="str">
        <v>3.0.0</v>
      </c>
      <c r="DC4" t="str">
        <v>2025-07-31T17:03:34.552Z</v>
      </c>
    </row>
    <row r="5">
      <c r="A5" t="str">
        <v>2</v>
      </c>
      <c r="B5" t="str">
        <v>22:27:56</v>
      </c>
      <c r="C5" t="str">
        <v>2025-12-08</v>
      </c>
      <c r="D5" t="str">
        <v>FB_Fl_Dark_8k</v>
      </c>
      <c r="E5" t="str">
        <v>Fern</v>
      </c>
      <c r="F5" t="str">
        <v/>
      </c>
      <c r="G5" t="str">
        <v/>
      </c>
      <c r="H5" t="str">
        <v/>
      </c>
      <c r="I5" t="str">
        <v/>
      </c>
      <c r="J5" t="str">
        <f>1/((1/L5)-(1/K5))</f>
        <v>0.004953</v>
      </c>
      <c r="K5" t="str">
        <f>BH5+(BI5*AN5)+(BJ5*AN5*POWER(V5,2))+(BK5*AN5*V5)+(BL5*POWER(AN5,2))</f>
        <v>0.035012</v>
      </c>
      <c r="L5" t="str">
        <f>((M5/1000)*(1000-((T5+S5)/2)))/(T5-S5)</f>
        <v>0.004339</v>
      </c>
      <c r="M5" t="str">
        <f>(AN5*(S5-R5))/(100*U5*(1000-S5))*1000</f>
        <v>0.042705</v>
      </c>
      <c r="N5" t="str">
        <v>1.071445</v>
      </c>
      <c r="O5" t="str">
        <v>0.926432</v>
      </c>
      <c r="P5" t="str">
        <f>0.61365*EXP((17.502*AL5)/(240.97+AL5))</f>
        <v>1.975563</v>
      </c>
      <c r="Q5" t="str">
        <f>P5-N5</f>
        <v>0.904118</v>
      </c>
      <c r="R5" t="str">
        <v>9.919508</v>
      </c>
      <c r="S5" t="str">
        <v>11.472190</v>
      </c>
      <c r="T5" t="str">
        <f>(P5/AM5)*1000</f>
        <v>21.152773</v>
      </c>
      <c r="U5" t="str">
        <f>V5*BG5</f>
        <v>0.441786</v>
      </c>
      <c r="V5" t="str">
        <v>7.500000</v>
      </c>
      <c r="W5" t="str">
        <v>PSF-01031_20251208222756_f1b</v>
      </c>
      <c r="X5" t="str">
        <v>115.462303</v>
      </c>
      <c r="Y5" t="str">
        <v>323.578827</v>
      </c>
      <c r="Z5" t="str">
        <v>0.643171</v>
      </c>
      <c r="AA5" t="str">
        <v>0.000000</v>
      </c>
      <c r="AB5" t="str">
        <v>0.000000</v>
      </c>
      <c r="AC5" t="str">
        <v>0.000000</v>
      </c>
      <c r="AD5" t="str">
        <v>0.5</v>
      </c>
      <c r="AE5" t="str">
        <v>0.80</v>
      </c>
      <c r="AF5" t="str">
        <f>AC5*AD5*AE5*AQ5</f>
        <v>1.210062</v>
      </c>
      <c r="AG5" t="str">
        <v>1.000000</v>
      </c>
      <c r="AH5" t="str">
        <v>45.41</v>
      </c>
      <c r="AI5" t="str">
        <v>39.26</v>
      </c>
      <c r="AJ5" t="str">
        <v>20.09</v>
      </c>
      <c r="AK5" t="str">
        <v>17.25</v>
      </c>
      <c r="AL5" t="str">
        <f>(AK5-AJ5)*(AJ5*0+0)+AK5</f>
        <v>17.25</v>
      </c>
      <c r="AM5" t="str">
        <v>93.39</v>
      </c>
      <c r="AN5" t="str">
        <v>1.2</v>
      </c>
      <c r="AO5" t="str">
        <v>-16.4</v>
      </c>
      <c r="AP5" t="str">
        <v>1464.0</v>
      </c>
      <c r="AQ5" t="str">
        <v>5</v>
      </c>
      <c r="AR5" t="str">
        <v>3.917</v>
      </c>
      <c r="AS5" t="str">
        <v>22:26:57</v>
      </c>
      <c r="AT5" t="str">
        <v>2025-12-08</v>
      </c>
      <c r="AU5" t="str">
        <v>6.66</v>
      </c>
      <c r="AV5" t="str">
        <v>1</v>
      </c>
      <c r="AW5" t="str">
        <v>0.000</v>
      </c>
      <c r="AX5" t="str">
        <v>0.001</v>
      </c>
      <c r="AY5" t="str">
        <v>0.002</v>
      </c>
      <c r="AZ5" t="str">
        <v>0.046</v>
      </c>
      <c r="BA5" t="str">
        <v>0.201</v>
      </c>
      <c r="BB5" t="str">
        <v>0.289</v>
      </c>
      <c r="BC5" t="str">
        <v>0</v>
      </c>
      <c r="BD5" t="str">
        <v>150</v>
      </c>
      <c r="BE5" t="str">
        <v>-9999.000</v>
      </c>
      <c r="BF5" t="str">
        <v>-9999.000000</v>
      </c>
      <c r="BG5" t="str">
        <v>0.058905</v>
      </c>
      <c r="BH5" t="str">
        <v>0.000000</v>
      </c>
      <c r="BI5" t="str">
        <v>0.029230</v>
      </c>
      <c r="BJ5" t="str">
        <v>0.000000</v>
      </c>
      <c r="BK5" t="str">
        <v>0.000000</v>
      </c>
      <c r="BL5" t="str">
        <v>-0.000068</v>
      </c>
      <c r="BM5" t="str">
        <v>standard</v>
      </c>
      <c r="BN5" t="str">
        <v>1</v>
      </c>
      <c r="BO5" t="str">
        <v>rectangular</v>
      </c>
      <c r="BP5" t="str">
        <v>8000</v>
      </c>
      <c r="BQ5" t="str">
        <v>5</v>
      </c>
      <c r="BR5" t="str">
        <v>-9999.000000</v>
      </c>
      <c r="BS5" t="str">
        <v>-9999.000000</v>
      </c>
      <c r="BT5" t="str">
        <v>55537</v>
      </c>
      <c r="BU5" t="str">
        <v>55537</v>
      </c>
      <c r="BV5" t="str">
        <v>55537</v>
      </c>
      <c r="BW5" t="str">
        <v>0.000000</v>
      </c>
      <c r="BX5" t="str">
        <v>-9999</v>
      </c>
      <c r="BY5" t="str">
        <v>0.000000</v>
      </c>
      <c r="BZ5" t="str">
        <v>0.000000</v>
      </c>
      <c r="CA5" t="str">
        <v>0.000000</v>
      </c>
      <c r="CB5" t="str">
        <v>0.000000</v>
      </c>
      <c r="CC5" t="str">
        <v>2.472266</v>
      </c>
      <c r="CD5" t="str">
        <v>2.437835</v>
      </c>
      <c r="CE5" t="str">
        <v>0.607243</v>
      </c>
      <c r="CF5" t="str">
        <v>0.571760</v>
      </c>
      <c r="CG5" t="str">
        <v>0.332004</v>
      </c>
      <c r="CH5" t="str">
        <v>-0.030117</v>
      </c>
      <c r="CI5" t="str">
        <v>0.052612</v>
      </c>
      <c r="CJ5" t="str">
        <v>0.111087</v>
      </c>
      <c r="CK5" t="str">
        <v>115.462303</v>
      </c>
      <c r="CL5" t="str">
        <v>0.000207</v>
      </c>
      <c r="CM5" t="str">
        <v>2.405086</v>
      </c>
      <c r="CN5" t="str">
        <v>0.000013</v>
      </c>
      <c r="CO5" t="str">
        <v>1.000000</v>
      </c>
      <c r="CP5" t="str">
        <v>2.372866</v>
      </c>
      <c r="CQ5" t="str">
        <v>0.000011</v>
      </c>
      <c r="CR5" t="str">
        <v>1.000000</v>
      </c>
      <c r="CS5" t="str">
        <v>0.601157</v>
      </c>
      <c r="CT5" t="str">
        <v>0.601293</v>
      </c>
      <c r="CU5" t="str">
        <v>0.106749</v>
      </c>
      <c r="CV5" t="str">
        <v>0.000000</v>
      </c>
      <c r="CW5" t="str">
        <v>PSF-01031_20251208222756_f1b</v>
      </c>
      <c r="CX5" t="str">
        <v>PFA-00872</v>
      </c>
      <c r="CY5" t="str">
        <v>PSA-00872</v>
      </c>
      <c r="CZ5" t="str">
        <v>PSF-01031</v>
      </c>
      <c r="DA5" t="str">
        <v>RHS-0785</v>
      </c>
      <c r="DB5" t="str">
        <v>3.0.0</v>
      </c>
      <c r="DC5" t="str">
        <v>2025-07-31T17:03:34.552Z</v>
      </c>
    </row>
    <row r="6">
      <c r="A6" t="str">
        <v>3</v>
      </c>
      <c r="B6" t="str">
        <v>22:28:19</v>
      </c>
      <c r="C6" t="str">
        <v>2025-12-08</v>
      </c>
      <c r="D6" t="str">
        <v>FB_Fl_Dark_8k</v>
      </c>
      <c r="E6" t="str">
        <v>Fern</v>
      </c>
      <c r="F6" t="str">
        <v/>
      </c>
      <c r="G6" t="str">
        <v/>
      </c>
      <c r="H6" t="str">
        <v/>
      </c>
      <c r="I6" t="str">
        <v/>
      </c>
      <c r="J6" t="str">
        <f>1/((1/L6)-(1/K6))</f>
        <v>0.000651</v>
      </c>
      <c r="K6" t="str">
        <f>BH6+(BI6*AN6)+(BJ6*AN6*POWER(V6,2))+(BK6*AN6*V6)+(BL6*POWER(AN6,2))</f>
        <v>0.034938</v>
      </c>
      <c r="L6" t="str">
        <f>((M6/1000)*(1000-((T6+S6)/2)))/(T6-S6)</f>
        <v>0.000639</v>
      </c>
      <c r="M6" t="str">
        <f>(AN6*(S6-R6))/(100*U6*(1000-S6))*1000</f>
        <v>0.009194</v>
      </c>
      <c r="N6" t="str">
        <v>0.959881</v>
      </c>
      <c r="O6" t="str">
        <v>0.928559</v>
      </c>
      <c r="P6" t="str">
        <f>0.61365*EXP((17.502*AL6)/(240.97+AL6))</f>
        <v>2.280327</v>
      </c>
      <c r="Q6" t="str">
        <f>P6-N6</f>
        <v>1.320446</v>
      </c>
      <c r="R6" t="str">
        <v>9.942834</v>
      </c>
      <c r="S6" t="str">
        <v>10.278222</v>
      </c>
      <c r="T6" t="str">
        <f>(P6/AM6)*1000</f>
        <v>24.417315</v>
      </c>
      <c r="U6" t="str">
        <f>V6*BG6</f>
        <v>0.441786</v>
      </c>
      <c r="V6" t="str">
        <v>7.500000</v>
      </c>
      <c r="W6" t="str">
        <v>PSF-01031_20251208222819_8fc</v>
      </c>
      <c r="X6" t="str">
        <v>78.045845</v>
      </c>
      <c r="Y6" t="str">
        <v>393.778687</v>
      </c>
      <c r="Z6" t="str">
        <v>0.801803</v>
      </c>
      <c r="AA6" t="str">
        <v>0.000000</v>
      </c>
      <c r="AB6" t="str">
        <v>0.000000</v>
      </c>
      <c r="AC6" t="str">
        <v>0.000000</v>
      </c>
      <c r="AD6" t="str">
        <v>0.5</v>
      </c>
      <c r="AE6" t="str">
        <v>0.80</v>
      </c>
      <c r="AF6" t="str">
        <f>AC6*AD6*AE6*AQ6</f>
        <v>0.627098</v>
      </c>
      <c r="AG6" t="str">
        <v>1.000000</v>
      </c>
      <c r="AH6" t="str">
        <v>40.61</v>
      </c>
      <c r="AI6" t="str">
        <v>39.29</v>
      </c>
      <c r="AJ6" t="str">
        <v>20.12</v>
      </c>
      <c r="AK6" t="str">
        <v>19.54</v>
      </c>
      <c r="AL6" t="str">
        <f>(AK6-AJ6)*(AJ6*0+0)+AK6</f>
        <v>19.54</v>
      </c>
      <c r="AM6" t="str">
        <v>93.39</v>
      </c>
      <c r="AN6" t="str">
        <v>1.2</v>
      </c>
      <c r="AO6" t="str">
        <v>-16.2</v>
      </c>
      <c r="AP6" t="str">
        <v>1453.0</v>
      </c>
      <c r="AQ6" t="str">
        <v>2</v>
      </c>
      <c r="AR6" t="str">
        <v>3.916</v>
      </c>
      <c r="AS6" t="str">
        <v>22:26:57</v>
      </c>
      <c r="AT6" t="str">
        <v>2025-12-08</v>
      </c>
      <c r="AU6" t="str">
        <v>6.66</v>
      </c>
      <c r="AV6" t="str">
        <v>1</v>
      </c>
      <c r="AW6" t="str">
        <v>-0.000</v>
      </c>
      <c r="AX6" t="str">
        <v>0.000</v>
      </c>
      <c r="AY6" t="str">
        <v>-0.000</v>
      </c>
      <c r="AZ6" t="str">
        <v>0.062</v>
      </c>
      <c r="BA6" t="str">
        <v>-0.211</v>
      </c>
      <c r="BB6" t="str">
        <v>-0.585</v>
      </c>
      <c r="BC6" t="str">
        <v>0</v>
      </c>
      <c r="BD6" t="str">
        <v>150</v>
      </c>
      <c r="BE6" t="str">
        <v>-9999.000</v>
      </c>
      <c r="BF6" t="str">
        <v>-9999.000000</v>
      </c>
      <c r="BG6" t="str">
        <v>0.058905</v>
      </c>
      <c r="BH6" t="str">
        <v>0.000000</v>
      </c>
      <c r="BI6" t="str">
        <v>0.029230</v>
      </c>
      <c r="BJ6" t="str">
        <v>0.000000</v>
      </c>
      <c r="BK6" t="str">
        <v>0.000000</v>
      </c>
      <c r="BL6" t="str">
        <v>-0.000068</v>
      </c>
      <c r="BM6" t="str">
        <v>standard</v>
      </c>
      <c r="BN6" t="str">
        <v>1</v>
      </c>
      <c r="BO6" t="str">
        <v>rectangular</v>
      </c>
      <c r="BP6" t="str">
        <v>8000</v>
      </c>
      <c r="BQ6" t="str">
        <v>5</v>
      </c>
      <c r="BR6" t="str">
        <v>-9999.000000</v>
      </c>
      <c r="BS6" t="str">
        <v>-9999.000000</v>
      </c>
      <c r="BT6" t="str">
        <v>55537</v>
      </c>
      <c r="BU6" t="str">
        <v>55537</v>
      </c>
      <c r="BV6" t="str">
        <v>55537</v>
      </c>
      <c r="BW6" t="str">
        <v>0.000000</v>
      </c>
      <c r="BX6" t="str">
        <v>-9999</v>
      </c>
      <c r="BY6" t="str">
        <v>0.000000</v>
      </c>
      <c r="BZ6" t="str">
        <v>0.000000</v>
      </c>
      <c r="CA6" t="str">
        <v>0.000000</v>
      </c>
      <c r="CB6" t="str">
        <v>0.000000</v>
      </c>
      <c r="CC6" t="str">
        <v>2.472295</v>
      </c>
      <c r="CD6" t="str">
        <v>2.430852</v>
      </c>
      <c r="CE6" t="str">
        <v>0.607230</v>
      </c>
      <c r="CF6" t="str">
        <v>0.572057</v>
      </c>
      <c r="CG6" t="str">
        <v>0.331632</v>
      </c>
      <c r="CH6" t="str">
        <v>-0.005365</v>
      </c>
      <c r="CI6" t="str">
        <v>0.055567</v>
      </c>
      <c r="CJ6" t="str">
        <v>0.108552</v>
      </c>
      <c r="CK6" t="str">
        <v>78.045845</v>
      </c>
      <c r="CL6" t="str">
        <v>0.000209</v>
      </c>
      <c r="CM6" t="str">
        <v>2.405086</v>
      </c>
      <c r="CN6" t="str">
        <v>0.000013</v>
      </c>
      <c r="CO6" t="str">
        <v>1.000000</v>
      </c>
      <c r="CP6" t="str">
        <v>2.372866</v>
      </c>
      <c r="CQ6" t="str">
        <v>0.000011</v>
      </c>
      <c r="CR6" t="str">
        <v>1.000000</v>
      </c>
      <c r="CS6" t="str">
        <v>0.601157</v>
      </c>
      <c r="CT6" t="str">
        <v>0.601293</v>
      </c>
      <c r="CU6" t="str">
        <v>0.106749</v>
      </c>
      <c r="CV6" t="str">
        <v>0.000000</v>
      </c>
      <c r="CW6" t="str">
        <v>PSF-01031_20251208222819_8fc</v>
      </c>
      <c r="CX6" t="str">
        <v>PFA-00872</v>
      </c>
      <c r="CY6" t="str">
        <v>PSA-00872</v>
      </c>
      <c r="CZ6" t="str">
        <v>PSF-01031</v>
      </c>
      <c r="DA6" t="str">
        <v>RHS-0785</v>
      </c>
      <c r="DB6" t="str">
        <v>3.0.0</v>
      </c>
      <c r="DC6" t="str">
        <v>2025-07-31T17:03:34.552Z</v>
      </c>
    </row>
    <row r="7">
      <c r="A7" t="str">
        <v>4</v>
      </c>
      <c r="B7" t="str">
        <v>22:28:39</v>
      </c>
      <c r="C7" t="str">
        <v>2025-12-08</v>
      </c>
      <c r="D7" t="str">
        <v>FB_Fl_Dark_8k</v>
      </c>
      <c r="E7" t="str">
        <v>Fern</v>
      </c>
      <c r="F7" t="str">
        <v/>
      </c>
      <c r="G7" t="str">
        <v/>
      </c>
      <c r="H7" t="str">
        <v/>
      </c>
      <c r="I7" t="str">
        <v/>
      </c>
      <c r="J7" t="str">
        <f>1/((1/L7)-(1/K7))</f>
        <v>0.002279</v>
      </c>
      <c r="K7" t="str">
        <f>BH7+(BI7*AN7)+(BJ7*AN7*POWER(V7,2))+(BK7*AN7*V7)+(BL7*POWER(AN7,2))</f>
        <v>0.033634</v>
      </c>
      <c r="L7" t="str">
        <f>((M7/1000)*(1000-((T7+S7)/2)))/(T7-S7)</f>
        <v>0.002134</v>
      </c>
      <c r="M7" t="str">
        <f>(AN7*(S7-R7))/(100*U7*(1000-S7))*1000</f>
        <v>0.029872</v>
      </c>
      <c r="N7" t="str">
        <v>1.036531</v>
      </c>
      <c r="O7" t="str">
        <v>0.930870</v>
      </c>
      <c r="P7" t="str">
        <f>0.61365*EXP((17.502*AL7)/(240.97+AL7))</f>
        <v>2.320499</v>
      </c>
      <c r="Q7" t="str">
        <f>P7-N7</f>
        <v>1.283968</v>
      </c>
      <c r="R7" t="str">
        <v>9.965262</v>
      </c>
      <c r="S7" t="str">
        <v>11.096401</v>
      </c>
      <c r="T7" t="str">
        <f>(P7/AM7)*1000</f>
        <v>24.841688</v>
      </c>
      <c r="U7" t="str">
        <f>V7*BG7</f>
        <v>0.441786</v>
      </c>
      <c r="V7" t="str">
        <v>7.500000</v>
      </c>
      <c r="W7" t="str">
        <v>PSF-01031_20251208222839_b77</v>
      </c>
      <c r="X7" t="str">
        <v>98.481415</v>
      </c>
      <c r="Y7" t="str">
        <v>99.626541</v>
      </c>
      <c r="Z7" t="str">
        <v>0.011494</v>
      </c>
      <c r="AA7" t="str">
        <v>0.000000</v>
      </c>
      <c r="AB7" t="str">
        <v>0.000000</v>
      </c>
      <c r="AC7" t="str">
        <v>0.000000</v>
      </c>
      <c r="AD7" t="str">
        <v>0.5</v>
      </c>
      <c r="AE7" t="str">
        <v>0.80</v>
      </c>
      <c r="AF7" t="str">
        <f>AC7*AD7*AE7*AQ7</f>
        <v>0.023513</v>
      </c>
      <c r="AG7" t="str">
        <v>1.000000</v>
      </c>
      <c r="AH7" t="str">
        <v>43.76</v>
      </c>
      <c r="AI7" t="str">
        <v>39.30</v>
      </c>
      <c r="AJ7" t="str">
        <v>20.15</v>
      </c>
      <c r="AK7" t="str">
        <v>19.82</v>
      </c>
      <c r="AL7" t="str">
        <f>(AK7-AJ7)*(AJ7*0+0)+AK7</f>
        <v>19.82</v>
      </c>
      <c r="AM7" t="str">
        <v>93.41</v>
      </c>
      <c r="AN7" t="str">
        <v>1.2</v>
      </c>
      <c r="AO7" t="str">
        <v>-15.7</v>
      </c>
      <c r="AP7" t="str">
        <v>1457.8</v>
      </c>
      <c r="AQ7" t="str">
        <v>5</v>
      </c>
      <c r="AR7" t="str">
        <v>3.913</v>
      </c>
      <c r="AS7" t="str">
        <v>22:26:57</v>
      </c>
      <c r="AT7" t="str">
        <v>2025-12-08</v>
      </c>
      <c r="AU7" t="str">
        <v>6.66</v>
      </c>
      <c r="AV7" t="str">
        <v>1</v>
      </c>
      <c r="AW7" t="str">
        <v>0.000</v>
      </c>
      <c r="AX7" t="str">
        <v>0.000</v>
      </c>
      <c r="AY7" t="str">
        <v>0.001</v>
      </c>
      <c r="AZ7" t="str">
        <v>0.295</v>
      </c>
      <c r="BA7" t="str">
        <v>0.126</v>
      </c>
      <c r="BB7" t="str">
        <v>0.449</v>
      </c>
      <c r="BC7" t="str">
        <v>0</v>
      </c>
      <c r="BD7" t="str">
        <v>150</v>
      </c>
      <c r="BE7" t="str">
        <v>-9999.000</v>
      </c>
      <c r="BF7" t="str">
        <v>-9999.000000</v>
      </c>
      <c r="BG7" t="str">
        <v>0.058905</v>
      </c>
      <c r="BH7" t="str">
        <v>0.000000</v>
      </c>
      <c r="BI7" t="str">
        <v>0.029230</v>
      </c>
      <c r="BJ7" t="str">
        <v>0.000000</v>
      </c>
      <c r="BK7" t="str">
        <v>0.000000</v>
      </c>
      <c r="BL7" t="str">
        <v>-0.000068</v>
      </c>
      <c r="BM7" t="str">
        <v>standard</v>
      </c>
      <c r="BN7" t="str">
        <v>1</v>
      </c>
      <c r="BO7" t="str">
        <v>rectangular</v>
      </c>
      <c r="BP7" t="str">
        <v>8000</v>
      </c>
      <c r="BQ7" t="str">
        <v>5</v>
      </c>
      <c r="BR7" t="str">
        <v>-9999.000000</v>
      </c>
      <c r="BS7" t="str">
        <v>-9999.000000</v>
      </c>
      <c r="BT7" t="str">
        <v>55537</v>
      </c>
      <c r="BU7" t="str">
        <v>55537</v>
      </c>
      <c r="BV7" t="str">
        <v>55537</v>
      </c>
      <c r="BW7" t="str">
        <v>0.000000</v>
      </c>
      <c r="BX7" t="str">
        <v>-9999</v>
      </c>
      <c r="BY7" t="str">
        <v>0.000000</v>
      </c>
      <c r="BZ7" t="str">
        <v>0.000000</v>
      </c>
      <c r="CA7" t="str">
        <v>0.000000</v>
      </c>
      <c r="CB7" t="str">
        <v>0.000000</v>
      </c>
      <c r="CC7" t="str">
        <v>2.472314</v>
      </c>
      <c r="CD7" t="str">
        <v>2.435449</v>
      </c>
      <c r="CE7" t="str">
        <v>0.607002</v>
      </c>
      <c r="CF7" t="str">
        <v>0.573041</v>
      </c>
      <c r="CG7" t="str">
        <v>0.331187</v>
      </c>
      <c r="CH7" t="str">
        <v>-0.002616</v>
      </c>
      <c r="CI7" t="str">
        <v>0.058061</v>
      </c>
      <c r="CJ7" t="str">
        <v>0.111465</v>
      </c>
      <c r="CK7" t="str">
        <v>98.400948</v>
      </c>
      <c r="CL7" t="str">
        <v>0.000211</v>
      </c>
      <c r="CM7" t="str">
        <v>2.405086</v>
      </c>
      <c r="CN7" t="str">
        <v>0.000013</v>
      </c>
      <c r="CO7" t="str">
        <v>1.000000</v>
      </c>
      <c r="CP7" t="str">
        <v>2.372866</v>
      </c>
      <c r="CQ7" t="str">
        <v>0.000011</v>
      </c>
      <c r="CR7" t="str">
        <v>1.000000</v>
      </c>
      <c r="CS7" t="str">
        <v>0.601157</v>
      </c>
      <c r="CT7" t="str">
        <v>0.601293</v>
      </c>
      <c r="CU7" t="str">
        <v>0.106749</v>
      </c>
      <c r="CV7" t="str">
        <v>0.000000</v>
      </c>
      <c r="CW7" t="str">
        <v>PSF-01031_20251208222839_b77</v>
      </c>
      <c r="CX7" t="str">
        <v>PFA-00872</v>
      </c>
      <c r="CY7" t="str">
        <v>PSA-00872</v>
      </c>
      <c r="CZ7" t="str">
        <v>PSF-01031</v>
      </c>
      <c r="DA7" t="str">
        <v>RHS-0785</v>
      </c>
      <c r="DB7" t="str">
        <v>3.0.0</v>
      </c>
      <c r="DC7" t="str">
        <v>2025-07-31T17:03:34.552Z</v>
      </c>
    </row>
    <row r="8">
      <c r="A8" t="str">
        <v>5</v>
      </c>
      <c r="B8" t="str">
        <v>22:29:01</v>
      </c>
      <c r="C8" t="str">
        <v>2025-12-08</v>
      </c>
      <c r="D8" t="str">
        <v>FB_Fl_Dark_8k</v>
      </c>
      <c r="E8" t="str">
        <v>Fern</v>
      </c>
      <c r="F8" t="str">
        <v/>
      </c>
      <c r="G8" t="str">
        <v/>
      </c>
      <c r="H8" t="str">
        <v/>
      </c>
      <c r="I8" t="str">
        <v/>
      </c>
      <c r="J8" t="str">
        <f>1/((1/L8)-(1/K8))</f>
        <v>0.002514</v>
      </c>
      <c r="K8" t="str">
        <f>BH8+(BI8*AN8)+(BJ8*AN8*POWER(V8,2))+(BK8*AN8*V8)+(BL8*POWER(AN8,2))</f>
        <v>0.035084</v>
      </c>
      <c r="L8" t="str">
        <f>((M8/1000)*(1000-((T8+S8)/2)))/(T8-S8)</f>
        <v>0.002346</v>
      </c>
      <c r="M8" t="str">
        <f>(AN8*(S8-R8))/(100*U8*(1000-S8))*1000</f>
        <v>0.036565</v>
      </c>
      <c r="N8" t="str">
        <v>1.057536</v>
      </c>
      <c r="O8" t="str">
        <v>0.933587</v>
      </c>
      <c r="P8" t="str">
        <f>0.61365*EXP((17.502*AL8)/(240.97+AL8))</f>
        <v>2.485987</v>
      </c>
      <c r="Q8" t="str">
        <f>P8-N8</f>
        <v>1.428452</v>
      </c>
      <c r="R8" t="str">
        <v>9.994478</v>
      </c>
      <c r="S8" t="str">
        <v>11.321410</v>
      </c>
      <c r="T8" t="str">
        <f>(P8/AM8)*1000</f>
        <v>26.613647</v>
      </c>
      <c r="U8" t="str">
        <f>V8*BG8</f>
        <v>0.441786</v>
      </c>
      <c r="V8" t="str">
        <v>7.500000</v>
      </c>
      <c r="W8" t="str">
        <v>PSF-01031_20251208222901_5b3</v>
      </c>
      <c r="X8" t="str">
        <v>54.726006</v>
      </c>
      <c r="Y8" t="str">
        <v>259.235870</v>
      </c>
      <c r="Z8" t="str">
        <v>0.788895</v>
      </c>
      <c r="AA8" t="str">
        <v>0.000000</v>
      </c>
      <c r="AB8" t="str">
        <v>0.000000</v>
      </c>
      <c r="AC8" t="str">
        <v>0.000000</v>
      </c>
      <c r="AD8" t="str">
        <v>0.5</v>
      </c>
      <c r="AE8" t="str">
        <v>0.80</v>
      </c>
      <c r="AF8" t="str">
        <f>AC8*AD8*AE8*AQ8</f>
        <v>1.353660</v>
      </c>
      <c r="AG8" t="str">
        <v>1.000000</v>
      </c>
      <c r="AH8" t="str">
        <v>44.53</v>
      </c>
      <c r="AI8" t="str">
        <v>39.31</v>
      </c>
      <c r="AJ8" t="str">
        <v>20.19</v>
      </c>
      <c r="AK8" t="str">
        <v>20.94</v>
      </c>
      <c r="AL8" t="str">
        <f>(AK8-AJ8)*(AJ8*0+0)+AK8</f>
        <v>20.94</v>
      </c>
      <c r="AM8" t="str">
        <v>93.41</v>
      </c>
      <c r="AN8" t="str">
        <v>1.2</v>
      </c>
      <c r="AO8" t="str">
        <v>-16.3</v>
      </c>
      <c r="AP8" t="str">
        <v>1452.1</v>
      </c>
      <c r="AQ8" t="str">
        <v>4</v>
      </c>
      <c r="AR8" t="str">
        <v>3.912</v>
      </c>
      <c r="AS8" t="str">
        <v>22:26:57</v>
      </c>
      <c r="AT8" t="str">
        <v>2025-12-08</v>
      </c>
      <c r="AU8" t="str">
        <v>6.66</v>
      </c>
      <c r="AV8" t="str">
        <v>1</v>
      </c>
      <c r="AW8" t="str">
        <v>0.000</v>
      </c>
      <c r="AX8" t="str">
        <v>0.000</v>
      </c>
      <c r="AY8" t="str">
        <v>0.001</v>
      </c>
      <c r="AZ8" t="str">
        <v>0.065</v>
      </c>
      <c r="BA8" t="str">
        <v>0.063</v>
      </c>
      <c r="BB8" t="str">
        <v>0.230</v>
      </c>
      <c r="BC8" t="str">
        <v>0</v>
      </c>
      <c r="BD8" t="str">
        <v>150</v>
      </c>
      <c r="BE8" t="str">
        <v>-9999.000</v>
      </c>
      <c r="BF8" t="str">
        <v>-9999.000000</v>
      </c>
      <c r="BG8" t="str">
        <v>0.058905</v>
      </c>
      <c r="BH8" t="str">
        <v>0.000000</v>
      </c>
      <c r="BI8" t="str">
        <v>0.029230</v>
      </c>
      <c r="BJ8" t="str">
        <v>0.000000</v>
      </c>
      <c r="BK8" t="str">
        <v>0.000000</v>
      </c>
      <c r="BL8" t="str">
        <v>-0.000068</v>
      </c>
      <c r="BM8" t="str">
        <v>standard</v>
      </c>
      <c r="BN8" t="str">
        <v>1</v>
      </c>
      <c r="BO8" t="str">
        <v>rectangular</v>
      </c>
      <c r="BP8" t="str">
        <v>8000</v>
      </c>
      <c r="BQ8" t="str">
        <v>5</v>
      </c>
      <c r="BR8" t="str">
        <v>-9999.000000</v>
      </c>
      <c r="BS8" t="str">
        <v>-9999.000000</v>
      </c>
      <c r="BT8" t="str">
        <v>55537</v>
      </c>
      <c r="BU8" t="str">
        <v>55537</v>
      </c>
      <c r="BV8" t="str">
        <v>55537</v>
      </c>
      <c r="BW8" t="str">
        <v>0.000000</v>
      </c>
      <c r="BX8" t="str">
        <v>-9999</v>
      </c>
      <c r="BY8" t="str">
        <v>0.000000</v>
      </c>
      <c r="BZ8" t="str">
        <v>0.000000</v>
      </c>
      <c r="CA8" t="str">
        <v>0.000000</v>
      </c>
      <c r="CB8" t="str">
        <v>0.000000</v>
      </c>
      <c r="CC8" t="str">
        <v>2.472319</v>
      </c>
      <c r="CD8" t="str">
        <v>2.436550</v>
      </c>
      <c r="CE8" t="str">
        <v>0.607256</v>
      </c>
      <c r="CF8" t="str">
        <v>0.571956</v>
      </c>
      <c r="CG8" t="str">
        <v>0.330605</v>
      </c>
      <c r="CH8" t="str">
        <v>0.009379</v>
      </c>
      <c r="CI8" t="str">
        <v>0.060844</v>
      </c>
      <c r="CJ8" t="str">
        <v>0.110705</v>
      </c>
      <c r="CK8" t="str">
        <v>54.726006</v>
      </c>
      <c r="CL8" t="str">
        <v>0.000207</v>
      </c>
      <c r="CM8" t="str">
        <v>2.405086</v>
      </c>
      <c r="CN8" t="str">
        <v>0.000013</v>
      </c>
      <c r="CO8" t="str">
        <v>1.000000</v>
      </c>
      <c r="CP8" t="str">
        <v>2.372866</v>
      </c>
      <c r="CQ8" t="str">
        <v>0.000011</v>
      </c>
      <c r="CR8" t="str">
        <v>1.000000</v>
      </c>
      <c r="CS8" t="str">
        <v>0.601157</v>
      </c>
      <c r="CT8" t="str">
        <v>0.601293</v>
      </c>
      <c r="CU8" t="str">
        <v>0.106749</v>
      </c>
      <c r="CV8" t="str">
        <v>0.000000</v>
      </c>
      <c r="CW8" t="str">
        <v>PSF-01031_20251208222901_5b3</v>
      </c>
      <c r="CX8" t="str">
        <v>PFA-00872</v>
      </c>
      <c r="CY8" t="str">
        <v>PSA-00872</v>
      </c>
      <c r="CZ8" t="str">
        <v>PSF-01031</v>
      </c>
      <c r="DA8" t="str">
        <v>RHS-0785</v>
      </c>
      <c r="DB8" t="str">
        <v>3.0.0</v>
      </c>
      <c r="DC8" t="str">
        <v>2025-07-31T17:03:34.552Z</v>
      </c>
    </row>
    <row r="9">
      <c r="A9" t="str">
        <v>6</v>
      </c>
      <c r="B9" t="str">
        <v>22:29:24</v>
      </c>
      <c r="C9" t="str">
        <v>2025-12-08</v>
      </c>
      <c r="D9" t="str">
        <v>FB_Fl_Dark_8k</v>
      </c>
      <c r="E9" t="str">
        <v>Fern</v>
      </c>
      <c r="F9" t="str">
        <v/>
      </c>
      <c r="G9" t="str">
        <v/>
      </c>
      <c r="H9" t="str">
        <v/>
      </c>
      <c r="I9" t="str">
        <v/>
      </c>
      <c r="J9" t="str">
        <f>1/((1/L9)-(1/K9))</f>
        <v>0.003244</v>
      </c>
      <c r="K9" t="str">
        <f>BH9+(BI9*AN9)+(BJ9*AN9*POWER(V9,2))+(BK9*AN9*V9)+(BL9*POWER(AN9,2))</f>
        <v>0.035116</v>
      </c>
      <c r="L9" t="str">
        <f>((M9/1000)*(1000-((T9+S9)/2)))/(T9-S9)</f>
        <v>0.002970</v>
      </c>
      <c r="M9" t="str">
        <f>(AN9*(S9-R9))/(100*U9*(1000-S9))*1000</f>
        <v>0.043617</v>
      </c>
      <c r="N9" t="str">
        <v>1.085369</v>
      </c>
      <c r="O9" t="str">
        <v>0.937731</v>
      </c>
      <c r="P9" t="str">
        <f>0.61365*EXP((17.502*AL9)/(240.97+AL9))</f>
        <v>2.431176</v>
      </c>
      <c r="Q9" t="str">
        <f>P9-N9</f>
        <v>1.345807</v>
      </c>
      <c r="R9" t="str">
        <v>10.041046</v>
      </c>
      <c r="S9" t="str">
        <v>11.621923</v>
      </c>
      <c r="T9" t="str">
        <f>(P9/AM9)*1000</f>
        <v>26.032578</v>
      </c>
      <c r="U9" t="str">
        <f>V9*BG9</f>
        <v>0.441786</v>
      </c>
      <c r="V9" t="str">
        <v>7.500000</v>
      </c>
      <c r="W9" t="str">
        <v>PSF-01031_20251208222924_1ff</v>
      </c>
      <c r="X9" t="str">
        <v>127.843735</v>
      </c>
      <c r="Y9" t="str">
        <v>204.475876</v>
      </c>
      <c r="Z9" t="str">
        <v>0.374774</v>
      </c>
      <c r="AA9" t="str">
        <v>0.000000</v>
      </c>
      <c r="AB9" t="str">
        <v>0.000000</v>
      </c>
      <c r="AC9" t="str">
        <v>0.000000</v>
      </c>
      <c r="AD9" t="str">
        <v>0.5</v>
      </c>
      <c r="AE9" t="str">
        <v>0.80</v>
      </c>
      <c r="AF9" t="str">
        <f>AC9*AD9*AE9*AQ9</f>
        <v>0.814679</v>
      </c>
      <c r="AG9" t="str">
        <v>1.000000</v>
      </c>
      <c r="AH9" t="str">
        <v>45.54</v>
      </c>
      <c r="AI9" t="str">
        <v>39.35</v>
      </c>
      <c r="AJ9" t="str">
        <v>20.25</v>
      </c>
      <c r="AK9" t="str">
        <v>20.57</v>
      </c>
      <c r="AL9" t="str">
        <f>(AK9-AJ9)*(AJ9*0+0)+AK9</f>
        <v>20.57</v>
      </c>
      <c r="AM9" t="str">
        <v>93.39</v>
      </c>
      <c r="AN9" t="str">
        <v>1.2</v>
      </c>
      <c r="AO9" t="str">
        <v>-15.9</v>
      </c>
      <c r="AP9" t="str">
        <v>1420.2</v>
      </c>
      <c r="AQ9" t="str">
        <v>5</v>
      </c>
      <c r="AR9" t="str">
        <v>3.910</v>
      </c>
      <c r="AS9" t="str">
        <v>22:26:57</v>
      </c>
      <c r="AT9" t="str">
        <v>2025-12-08</v>
      </c>
      <c r="AU9" t="str">
        <v>6.66</v>
      </c>
      <c r="AV9" t="str">
        <v>1</v>
      </c>
      <c r="AW9" t="str">
        <v>0.000</v>
      </c>
      <c r="AX9" t="str">
        <v>0.001</v>
      </c>
      <c r="AY9" t="str">
        <v>0.001</v>
      </c>
      <c r="AZ9" t="str">
        <v>0.091</v>
      </c>
      <c r="BA9" t="str">
        <v>0.133</v>
      </c>
      <c r="BB9" t="str">
        <v>0.329</v>
      </c>
      <c r="BC9" t="str">
        <v>0</v>
      </c>
      <c r="BD9" t="str">
        <v>150</v>
      </c>
      <c r="BE9" t="str">
        <v>-9999.000</v>
      </c>
      <c r="BF9" t="str">
        <v>-9999.000000</v>
      </c>
      <c r="BG9" t="str">
        <v>0.058905</v>
      </c>
      <c r="BH9" t="str">
        <v>0.000000</v>
      </c>
      <c r="BI9" t="str">
        <v>0.029230</v>
      </c>
      <c r="BJ9" t="str">
        <v>0.000000</v>
      </c>
      <c r="BK9" t="str">
        <v>0.000000</v>
      </c>
      <c r="BL9" t="str">
        <v>-0.000068</v>
      </c>
      <c r="BM9" t="str">
        <v>standard</v>
      </c>
      <c r="BN9" t="str">
        <v>1</v>
      </c>
      <c r="BO9" t="str">
        <v>rectangular</v>
      </c>
      <c r="BP9" t="str">
        <v>8000</v>
      </c>
      <c r="BQ9" t="str">
        <v>5</v>
      </c>
      <c r="BR9" t="str">
        <v>-9999.000000</v>
      </c>
      <c r="BS9" t="str">
        <v>-9999.000000</v>
      </c>
      <c r="BT9" t="str">
        <v>55537</v>
      </c>
      <c r="BU9" t="str">
        <v>55537</v>
      </c>
      <c r="BV9" t="str">
        <v>55537</v>
      </c>
      <c r="BW9" t="str">
        <v>0.000000</v>
      </c>
      <c r="BX9" t="str">
        <v>-9999</v>
      </c>
      <c r="BY9" t="str">
        <v>0.000000</v>
      </c>
      <c r="BZ9" t="str">
        <v>0.000000</v>
      </c>
      <c r="CA9" t="str">
        <v>0.000000</v>
      </c>
      <c r="CB9" t="str">
        <v>0.000000</v>
      </c>
      <c r="CC9" t="str">
        <v>2.472366</v>
      </c>
      <c r="CD9" t="str">
        <v>2.438001</v>
      </c>
      <c r="CE9" t="str">
        <v>0.607261</v>
      </c>
      <c r="CF9" t="str">
        <v>0.572614</v>
      </c>
      <c r="CG9" t="str">
        <v>0.329863</v>
      </c>
      <c r="CH9" t="str">
        <v>0.004681</v>
      </c>
      <c r="CI9" t="str">
        <v>0.063666</v>
      </c>
      <c r="CJ9" t="str">
        <v>0.111761</v>
      </c>
      <c r="CK9" t="str">
        <v>127.843735</v>
      </c>
      <c r="CL9" t="str">
        <v>0.000207</v>
      </c>
      <c r="CM9" t="str">
        <v>2.405086</v>
      </c>
      <c r="CN9" t="str">
        <v>0.000013</v>
      </c>
      <c r="CO9" t="str">
        <v>1.000000</v>
      </c>
      <c r="CP9" t="str">
        <v>2.372866</v>
      </c>
      <c r="CQ9" t="str">
        <v>0.000011</v>
      </c>
      <c r="CR9" t="str">
        <v>1.000000</v>
      </c>
      <c r="CS9" t="str">
        <v>0.601157</v>
      </c>
      <c r="CT9" t="str">
        <v>0.601293</v>
      </c>
      <c r="CU9" t="str">
        <v>0.106749</v>
      </c>
      <c r="CV9" t="str">
        <v>0.000000</v>
      </c>
      <c r="CW9" t="str">
        <v>PSF-01031_20251208222924_1ff</v>
      </c>
      <c r="CX9" t="str">
        <v>PFA-00872</v>
      </c>
      <c r="CY9" t="str">
        <v>PSA-00872</v>
      </c>
      <c r="CZ9" t="str">
        <v>PSF-01031</v>
      </c>
      <c r="DA9" t="str">
        <v>RHS-0785</v>
      </c>
      <c r="DB9" t="str">
        <v>3.0.0</v>
      </c>
      <c r="DC9" t="str">
        <v>2025-07-31T17:03:34.552Z</v>
      </c>
    </row>
    <row r="10">
      <c r="A10" t="str">
        <v>7</v>
      </c>
      <c r="B10" t="str">
        <v>22:30:15</v>
      </c>
      <c r="C10" t="str">
        <v>2025-12-08</v>
      </c>
      <c r="D10" t="str">
        <v>FB_Fl_Dark_8k</v>
      </c>
      <c r="E10" t="str">
        <v>Fern</v>
      </c>
      <c r="F10" t="str">
        <v/>
      </c>
      <c r="G10" t="str">
        <v/>
      </c>
      <c r="H10" t="str">
        <v/>
      </c>
      <c r="I10" t="str">
        <v/>
      </c>
      <c r="J10" t="str">
        <f>1/((1/L10)-(1/K10))</f>
        <v>0.008430</v>
      </c>
      <c r="K10" t="str">
        <f>BH10+(BI10*AN10)+(BJ10*AN10*POWER(V10,2))+(BK10*AN10*V10)+(BL10*POWER(AN10,2))</f>
        <v>0.033391</v>
      </c>
      <c r="L10" t="str">
        <f>((M10/1000)*(1000-((T10+S10)/2)))/(T10-S10)</f>
        <v>0.006731</v>
      </c>
      <c r="M10" t="str">
        <f>(AN10*(S10-R10))/(100*U10*(1000-S10))*1000</f>
        <v>0.045443</v>
      </c>
      <c r="N10" t="str">
        <v>1.108065</v>
      </c>
      <c r="O10" t="str">
        <v>0.946291</v>
      </c>
      <c r="P10" t="str">
        <f>0.61365*EXP((17.502*AL10)/(240.97+AL10))</f>
        <v>1.729094</v>
      </c>
      <c r="Q10" t="str">
        <f>P10-N10</f>
        <v>0.621028</v>
      </c>
      <c r="R10" t="str">
        <v>10.131381</v>
      </c>
      <c r="S10" t="str">
        <v>11.863402</v>
      </c>
      <c r="T10" t="str">
        <f>(P10/AM10)*1000</f>
        <v>18.512384</v>
      </c>
      <c r="U10" t="str">
        <f>V10*BG10</f>
        <v>0.441786</v>
      </c>
      <c r="V10" t="str">
        <v>7.500000</v>
      </c>
      <c r="W10" t="str">
        <v>PSF-01031_20251208223015_925</v>
      </c>
      <c r="X10" t="str">
        <v>125.185486</v>
      </c>
      <c r="Y10" t="str">
        <v>519.598267</v>
      </c>
      <c r="Z10" t="str">
        <v>0.759073</v>
      </c>
      <c r="AA10" t="str">
        <v>0.000000</v>
      </c>
      <c r="AB10" t="str">
        <v>0.000000</v>
      </c>
      <c r="AC10" t="str">
        <v>0.000000</v>
      </c>
      <c r="AD10" t="str">
        <v>0.5</v>
      </c>
      <c r="AE10" t="str">
        <v>0.80</v>
      </c>
      <c r="AF10" t="str">
        <f>AC10*AD10*AE10*AQ10</f>
        <v>1.356297</v>
      </c>
      <c r="AG10" t="str">
        <v>1.000000</v>
      </c>
      <c r="AH10" t="str">
        <v>46.11</v>
      </c>
      <c r="AI10" t="str">
        <v>39.38</v>
      </c>
      <c r="AJ10" t="str">
        <v>20.38</v>
      </c>
      <c r="AK10" t="str">
        <v>15.16</v>
      </c>
      <c r="AL10" t="str">
        <f>(AK10-AJ10)*(AJ10*0+0)+AK10</f>
        <v>15.16</v>
      </c>
      <c r="AM10" t="str">
        <v>93.40</v>
      </c>
      <c r="AN10" t="str">
        <v>1.1</v>
      </c>
      <c r="AO10" t="str">
        <v>-15.9</v>
      </c>
      <c r="AP10" t="str">
        <v>1490.4</v>
      </c>
      <c r="AQ10" t="str">
        <v>4</v>
      </c>
      <c r="AR10" t="str">
        <v>3.909</v>
      </c>
      <c r="AS10" t="str">
        <v>22:26:57</v>
      </c>
      <c r="AT10" t="str">
        <v>2025-12-08</v>
      </c>
      <c r="AU10" t="str">
        <v>6.66</v>
      </c>
      <c r="AV10" t="str">
        <v>1</v>
      </c>
      <c r="AW10" t="str">
        <v>0.001</v>
      </c>
      <c r="AX10" t="str">
        <v>0.003</v>
      </c>
      <c r="AY10" t="str">
        <v>0.005</v>
      </c>
      <c r="AZ10" t="str">
        <v>0.046</v>
      </c>
      <c r="BA10" t="str">
        <v>0.360</v>
      </c>
      <c r="BB10" t="str">
        <v>0.130</v>
      </c>
      <c r="BC10" t="str">
        <v>0</v>
      </c>
      <c r="BD10" t="str">
        <v>150</v>
      </c>
      <c r="BE10" t="str">
        <v>-9999.000</v>
      </c>
      <c r="BF10" t="str">
        <v>-9999.000000</v>
      </c>
      <c r="BG10" t="str">
        <v>0.058905</v>
      </c>
      <c r="BH10" t="str">
        <v>0.000000</v>
      </c>
      <c r="BI10" t="str">
        <v>0.029230</v>
      </c>
      <c r="BJ10" t="str">
        <v>0.000000</v>
      </c>
      <c r="BK10" t="str">
        <v>0.000000</v>
      </c>
      <c r="BL10" t="str">
        <v>-0.000068</v>
      </c>
      <c r="BM10" t="str">
        <v>standard</v>
      </c>
      <c r="BN10" t="str">
        <v>1</v>
      </c>
      <c r="BO10" t="str">
        <v>rectangular</v>
      </c>
      <c r="BP10" t="str">
        <v>8000</v>
      </c>
      <c r="BQ10" t="str">
        <v>5</v>
      </c>
      <c r="BR10" t="str">
        <v>-9999.000000</v>
      </c>
      <c r="BS10" t="str">
        <v>-9999.000000</v>
      </c>
      <c r="BT10" t="str">
        <v>55537</v>
      </c>
      <c r="BU10" t="str">
        <v>55537</v>
      </c>
      <c r="BV10" t="str">
        <v>55537</v>
      </c>
      <c r="BW10" t="str">
        <v>0.000000</v>
      </c>
      <c r="BX10" t="str">
        <v>-9999</v>
      </c>
      <c r="BY10" t="str">
        <v>0.000000</v>
      </c>
      <c r="BZ10" t="str">
        <v>0.000000</v>
      </c>
      <c r="CA10" t="str">
        <v>0.000000</v>
      </c>
      <c r="CB10" t="str">
        <v>0.000000</v>
      </c>
      <c r="CC10" t="str">
        <v>2.472390</v>
      </c>
      <c r="CD10" t="str">
        <v>2.438792</v>
      </c>
      <c r="CE10" t="str">
        <v>0.606960</v>
      </c>
      <c r="CF10" t="str">
        <v>0.572579</v>
      </c>
      <c r="CG10" t="str">
        <v>0.328085</v>
      </c>
      <c r="CH10" t="str">
        <v>-0.055771</v>
      </c>
      <c r="CI10" t="str">
        <v>0.069864</v>
      </c>
      <c r="CJ10" t="str">
        <v>0.110869</v>
      </c>
      <c r="CK10" t="str">
        <v>125.185486</v>
      </c>
      <c r="CL10" t="str">
        <v>0.000209</v>
      </c>
      <c r="CM10" t="str">
        <v>2.405086</v>
      </c>
      <c r="CN10" t="str">
        <v>0.000013</v>
      </c>
      <c r="CO10" t="str">
        <v>1.000000</v>
      </c>
      <c r="CP10" t="str">
        <v>2.372866</v>
      </c>
      <c r="CQ10" t="str">
        <v>0.000011</v>
      </c>
      <c r="CR10" t="str">
        <v>1.000000</v>
      </c>
      <c r="CS10" t="str">
        <v>0.601157</v>
      </c>
      <c r="CT10" t="str">
        <v>0.601293</v>
      </c>
      <c r="CU10" t="str">
        <v>0.106749</v>
      </c>
      <c r="CV10" t="str">
        <v>0.000000</v>
      </c>
      <c r="CW10" t="str">
        <v>PSF-01031_20251208223015_925</v>
      </c>
      <c r="CX10" t="str">
        <v>PFA-00872</v>
      </c>
      <c r="CY10" t="str">
        <v>PSA-00872</v>
      </c>
      <c r="CZ10" t="str">
        <v>PSF-01031</v>
      </c>
      <c r="DA10" t="str">
        <v>RHS-0785</v>
      </c>
      <c r="DB10" t="str">
        <v>3.0.0</v>
      </c>
      <c r="DC10" t="str">
        <v>2025-07-31T17:03:34.552Z</v>
      </c>
    </row>
    <row r="11">
      <c r="A11" t="str">
        <v>8</v>
      </c>
      <c r="B11" t="str">
        <v>22:30:34</v>
      </c>
      <c r="C11" t="str">
        <v>2025-12-08</v>
      </c>
      <c r="D11" t="str">
        <v>FB_Fl_Dark_8k</v>
      </c>
      <c r="E11" t="str">
        <v>Fern</v>
      </c>
      <c r="F11" t="str">
        <v/>
      </c>
      <c r="G11" t="str">
        <v/>
      </c>
      <c r="H11" t="str">
        <v/>
      </c>
      <c r="I11" t="str">
        <v/>
      </c>
      <c r="J11" t="str">
        <f>1/((1/L11)-(1/K11))</f>
        <v>0.002333</v>
      </c>
      <c r="K11" t="str">
        <f>BH11+(BI11*AN11)+(BJ11*AN11*POWER(V11,2))+(BK11*AN11*V11)+(BL11*POWER(AN11,2))</f>
        <v>0.033714</v>
      </c>
      <c r="L11" t="str">
        <f>((M11/1000)*(1000-((T11+S11)/2)))/(T11-S11)</f>
        <v>0.002182</v>
      </c>
      <c r="M11" t="str">
        <f>(AN11*(S11-R11))/(100*U11*(1000-S11))*1000</f>
        <v>0.026242</v>
      </c>
      <c r="N11" t="str">
        <v>1.041943</v>
      </c>
      <c r="O11" t="str">
        <v>0.949353</v>
      </c>
      <c r="P11" t="str">
        <f>0.61365*EXP((17.502*AL11)/(240.97+AL11))</f>
        <v>2.146328</v>
      </c>
      <c r="Q11" t="str">
        <f>P11-N11</f>
        <v>1.104385</v>
      </c>
      <c r="R11" t="str">
        <v>10.163884</v>
      </c>
      <c r="S11" t="str">
        <v>11.155167</v>
      </c>
      <c r="T11" t="str">
        <f>(P11/AM11)*1000</f>
        <v>22.978846</v>
      </c>
      <c r="U11" t="str">
        <f>V11*BG11</f>
        <v>0.441786</v>
      </c>
      <c r="V11" t="str">
        <v>7.500000</v>
      </c>
      <c r="W11" t="str">
        <v>PSF-01031_20251208223034_a91</v>
      </c>
      <c r="X11" t="str">
        <v>75.831772</v>
      </c>
      <c r="Y11" t="str">
        <v>123.089432</v>
      </c>
      <c r="Z11" t="str">
        <v>0.383929</v>
      </c>
      <c r="AA11" t="str">
        <v>0.000000</v>
      </c>
      <c r="AB11" t="str">
        <v>0.000000</v>
      </c>
      <c r="AC11" t="str">
        <v>0.000000</v>
      </c>
      <c r="AD11" t="str">
        <v>0.5</v>
      </c>
      <c r="AE11" t="str">
        <v>0.80</v>
      </c>
      <c r="AF11" t="str">
        <f>AC11*AD11*AE11*AQ11</f>
        <v>0.770325</v>
      </c>
      <c r="AG11" t="str">
        <v>1.000000</v>
      </c>
      <c r="AH11" t="str">
        <v>43.24</v>
      </c>
      <c r="AI11" t="str">
        <v>39.40</v>
      </c>
      <c r="AJ11" t="str">
        <v>20.43</v>
      </c>
      <c r="AK11" t="str">
        <v>18.57</v>
      </c>
      <c r="AL11" t="str">
        <f>(AK11-AJ11)*(AJ11*0+0)+AK11</f>
        <v>18.57</v>
      </c>
      <c r="AM11" t="str">
        <v>93.40</v>
      </c>
      <c r="AN11" t="str">
        <v>1.2</v>
      </c>
      <c r="AO11" t="str">
        <v>-16.0</v>
      </c>
      <c r="AP11" t="str">
        <v>1483.1</v>
      </c>
      <c r="AQ11" t="str">
        <v>5</v>
      </c>
      <c r="AR11" t="str">
        <v>3.875</v>
      </c>
      <c r="AS11" t="str">
        <v>22:26:57</v>
      </c>
      <c r="AT11" t="str">
        <v>2025-12-08</v>
      </c>
      <c r="AU11" t="str">
        <v>6.66</v>
      </c>
      <c r="AV11" t="str">
        <v>1</v>
      </c>
      <c r="AW11" t="str">
        <v>0.000</v>
      </c>
      <c r="AX11" t="str">
        <v>0.000</v>
      </c>
      <c r="AY11" t="str">
        <v>0.001</v>
      </c>
      <c r="AZ11" t="str">
        <v>0.051</v>
      </c>
      <c r="BA11" t="str">
        <v>0.160</v>
      </c>
      <c r="BB11" t="str">
        <v>0.354</v>
      </c>
      <c r="BC11" t="str">
        <v>0</v>
      </c>
      <c r="BD11" t="str">
        <v>150</v>
      </c>
      <c r="BE11" t="str">
        <v>-9999.000</v>
      </c>
      <c r="BF11" t="str">
        <v>-9999.000000</v>
      </c>
      <c r="BG11" t="str">
        <v>0.058905</v>
      </c>
      <c r="BH11" t="str">
        <v>0.000000</v>
      </c>
      <c r="BI11" t="str">
        <v>0.029230</v>
      </c>
      <c r="BJ11" t="str">
        <v>0.000000</v>
      </c>
      <c r="BK11" t="str">
        <v>0.000000</v>
      </c>
      <c r="BL11" t="str">
        <v>-0.000068</v>
      </c>
      <c r="BM11" t="str">
        <v>standard</v>
      </c>
      <c r="BN11" t="str">
        <v>1</v>
      </c>
      <c r="BO11" t="str">
        <v>rectangular</v>
      </c>
      <c r="BP11" t="str">
        <v>8000</v>
      </c>
      <c r="BQ11" t="str">
        <v>5</v>
      </c>
      <c r="BR11" t="str">
        <v>-9999.000000</v>
      </c>
      <c r="BS11" t="str">
        <v>-9999.000000</v>
      </c>
      <c r="BT11" t="str">
        <v>55537</v>
      </c>
      <c r="BU11" t="str">
        <v>55537</v>
      </c>
      <c r="BV11" t="str">
        <v>55537</v>
      </c>
      <c r="BW11" t="str">
        <v>0.000000</v>
      </c>
      <c r="BX11" t="str">
        <v>-9999</v>
      </c>
      <c r="BY11" t="str">
        <v>0.000000</v>
      </c>
      <c r="BZ11" t="str">
        <v>0.000000</v>
      </c>
      <c r="CA11" t="str">
        <v>0.000000</v>
      </c>
      <c r="CB11" t="str">
        <v>0.000000</v>
      </c>
      <c r="CC11" t="str">
        <v>2.472416</v>
      </c>
      <c r="CD11" t="str">
        <v>2.434653</v>
      </c>
      <c r="CE11" t="str">
        <v>0.607016</v>
      </c>
      <c r="CF11" t="str">
        <v>0.572453</v>
      </c>
      <c r="CG11" t="str">
        <v>0.327516</v>
      </c>
      <c r="CH11" t="str">
        <v>-0.019554</v>
      </c>
      <c r="CI11" t="str">
        <v>0.071980</v>
      </c>
      <c r="CJ11" t="str">
        <v>0.111375</v>
      </c>
      <c r="CK11" t="str">
        <v>75.831772</v>
      </c>
      <c r="CL11" t="str">
        <v>0.000212</v>
      </c>
      <c r="CM11" t="str">
        <v>2.405086</v>
      </c>
      <c r="CN11" t="str">
        <v>0.000013</v>
      </c>
      <c r="CO11" t="str">
        <v>1.000000</v>
      </c>
      <c r="CP11" t="str">
        <v>2.372866</v>
      </c>
      <c r="CQ11" t="str">
        <v>0.000011</v>
      </c>
      <c r="CR11" t="str">
        <v>1.000000</v>
      </c>
      <c r="CS11" t="str">
        <v>0.601157</v>
      </c>
      <c r="CT11" t="str">
        <v>0.601293</v>
      </c>
      <c r="CU11" t="str">
        <v>0.106749</v>
      </c>
      <c r="CV11" t="str">
        <v>0.000000</v>
      </c>
      <c r="CW11" t="str">
        <v>PSF-01031_20251208223034_a91</v>
      </c>
      <c r="CX11" t="str">
        <v>PFA-00872</v>
      </c>
      <c r="CY11" t="str">
        <v>PSA-00872</v>
      </c>
      <c r="CZ11" t="str">
        <v>PSF-01031</v>
      </c>
      <c r="DA11" t="str">
        <v>RHS-0785</v>
      </c>
      <c r="DB11" t="str">
        <v>3.0.0</v>
      </c>
      <c r="DC11" t="str">
        <v>2025-07-31T17:03:34.552Z</v>
      </c>
    </row>
    <row r="12">
      <c r="A12" t="str">
        <v>9</v>
      </c>
      <c r="B12" t="str">
        <v>22:30:56</v>
      </c>
      <c r="C12" t="str">
        <v>2025-12-08</v>
      </c>
      <c r="D12" t="str">
        <v>FB_Fl_Dark_8k</v>
      </c>
      <c r="E12" t="str">
        <v>Fern</v>
      </c>
      <c r="F12" t="str">
        <v/>
      </c>
      <c r="G12" t="str">
        <v/>
      </c>
      <c r="H12" t="str">
        <v/>
      </c>
      <c r="I12" t="str">
        <v/>
      </c>
      <c r="J12" t="str">
        <f>1/((1/L12)-(1/K12))</f>
        <v>0.003726</v>
      </c>
      <c r="K12" t="str">
        <f>BH12+(BI12*AN12)+(BJ12*AN12*POWER(V12,2))+(BK12*AN12*V12)+(BL12*POWER(AN12,2))</f>
        <v>0.034490</v>
      </c>
      <c r="L12" t="str">
        <f>((M12/1000)*(1000-((T12+S12)/2)))/(T12-S12)</f>
        <v>0.003362</v>
      </c>
      <c r="M12" t="str">
        <f>(AN12*(S12-R12))/(100*U12*(1000-S12))*1000</f>
        <v>0.041592</v>
      </c>
      <c r="N12" t="str">
        <v>1.096721</v>
      </c>
      <c r="O12" t="str">
        <v>0.953371</v>
      </c>
      <c r="P12" t="str">
        <f>0.61365*EXP((17.502*AL12)/(240.97+AL12))</f>
        <v>2.231488</v>
      </c>
      <c r="Q12" t="str">
        <f>P12-N12</f>
        <v>1.134767</v>
      </c>
      <c r="R12" t="str">
        <v>10.207153</v>
      </c>
      <c r="S12" t="str">
        <v>11.741915</v>
      </c>
      <c r="T12" t="str">
        <f>(P12/AM12)*1000</f>
        <v>23.891159</v>
      </c>
      <c r="U12" t="str">
        <f>V12*BG12</f>
        <v>0.441786</v>
      </c>
      <c r="V12" t="str">
        <v>7.500000</v>
      </c>
      <c r="W12" t="str">
        <v>PSF-01031_20251208223056_155</v>
      </c>
      <c r="X12" t="str">
        <v>80.409767</v>
      </c>
      <c r="Y12" t="str">
        <v>353.591675</v>
      </c>
      <c r="Z12" t="str">
        <v>0.772591</v>
      </c>
      <c r="AA12" t="str">
        <v>0.000000</v>
      </c>
      <c r="AB12" t="str">
        <v>0.000000</v>
      </c>
      <c r="AC12" t="str">
        <v>0.000000</v>
      </c>
      <c r="AD12" t="str">
        <v>0.5</v>
      </c>
      <c r="AE12" t="str">
        <v>0.80</v>
      </c>
      <c r="AF12" t="str">
        <f>AC12*AD12*AE12*AQ12</f>
        <v>1.518028</v>
      </c>
      <c r="AG12" t="str">
        <v>1.000000</v>
      </c>
      <c r="AH12" t="str">
        <v>45.34</v>
      </c>
      <c r="AI12" t="str">
        <v>39.42</v>
      </c>
      <c r="AJ12" t="str">
        <v>20.49</v>
      </c>
      <c r="AK12" t="str">
        <v>19.19</v>
      </c>
      <c r="AL12" t="str">
        <f>(AK12-AJ12)*(AJ12*0+0)+AK12</f>
        <v>19.19</v>
      </c>
      <c r="AM12" t="str">
        <v>93.40</v>
      </c>
      <c r="AN12" t="str">
        <v>1.2</v>
      </c>
      <c r="AO12" t="str">
        <v>-16.3</v>
      </c>
      <c r="AP12" t="str">
        <v>1477.8</v>
      </c>
      <c r="AQ12" t="str">
        <v>5</v>
      </c>
      <c r="AR12" t="str">
        <v>3.906</v>
      </c>
      <c r="AS12" t="str">
        <v>22:26:57</v>
      </c>
      <c r="AT12" t="str">
        <v>2025-12-08</v>
      </c>
      <c r="AU12" t="str">
        <v>6.66</v>
      </c>
      <c r="AV12" t="str">
        <v>1</v>
      </c>
      <c r="AW12" t="str">
        <v>0.000</v>
      </c>
      <c r="AX12" t="str">
        <v>0.000</v>
      </c>
      <c r="AY12" t="str">
        <v>0.000</v>
      </c>
      <c r="AZ12" t="str">
        <v>0.003</v>
      </c>
      <c r="BA12" t="str">
        <v>0.277</v>
      </c>
      <c r="BB12" t="str">
        <v>0.137</v>
      </c>
      <c r="BC12" t="str">
        <v>0</v>
      </c>
      <c r="BD12" t="str">
        <v>150</v>
      </c>
      <c r="BE12" t="str">
        <v>-9999.000</v>
      </c>
      <c r="BF12" t="str">
        <v>-9999.000000</v>
      </c>
      <c r="BG12" t="str">
        <v>0.058905</v>
      </c>
      <c r="BH12" t="str">
        <v>0.000000</v>
      </c>
      <c r="BI12" t="str">
        <v>0.029230</v>
      </c>
      <c r="BJ12" t="str">
        <v>0.000000</v>
      </c>
      <c r="BK12" t="str">
        <v>0.000000</v>
      </c>
      <c r="BL12" t="str">
        <v>-0.000068</v>
      </c>
      <c r="BM12" t="str">
        <v>standard</v>
      </c>
      <c r="BN12" t="str">
        <v>1</v>
      </c>
      <c r="BO12" t="str">
        <v>rectangular</v>
      </c>
      <c r="BP12" t="str">
        <v>8000</v>
      </c>
      <c r="BQ12" t="str">
        <v>5</v>
      </c>
      <c r="BR12" t="str">
        <v>-9999.000000</v>
      </c>
      <c r="BS12" t="str">
        <v>-9999.000000</v>
      </c>
      <c r="BT12" t="str">
        <v>55537</v>
      </c>
      <c r="BU12" t="str">
        <v>55537</v>
      </c>
      <c r="BV12" t="str">
        <v>55537</v>
      </c>
      <c r="BW12" t="str">
        <v>0.000000</v>
      </c>
      <c r="BX12" t="str">
        <v>-9999</v>
      </c>
      <c r="BY12" t="str">
        <v>0.000000</v>
      </c>
      <c r="BZ12" t="str">
        <v>0.000000</v>
      </c>
      <c r="CA12" t="str">
        <v>0.000000</v>
      </c>
      <c r="CB12" t="str">
        <v>0.000000</v>
      </c>
      <c r="CC12" t="str">
        <v>2.472430</v>
      </c>
      <c r="CD12" t="str">
        <v>2.437675</v>
      </c>
      <c r="CE12" t="str">
        <v>0.607152</v>
      </c>
      <c r="CF12" t="str">
        <v>0.571906</v>
      </c>
      <c r="CG12" t="str">
        <v>0.326706</v>
      </c>
      <c r="CH12" t="str">
        <v>-0.013393</v>
      </c>
      <c r="CI12" t="str">
        <v>0.074571</v>
      </c>
      <c r="CJ12" t="str">
        <v>0.111279</v>
      </c>
      <c r="CK12" t="str">
        <v>80.409767</v>
      </c>
      <c r="CL12" t="str">
        <v>0.000211</v>
      </c>
      <c r="CM12" t="str">
        <v>2.405086</v>
      </c>
      <c r="CN12" t="str">
        <v>0.000013</v>
      </c>
      <c r="CO12" t="str">
        <v>1.000000</v>
      </c>
      <c r="CP12" t="str">
        <v>2.372866</v>
      </c>
      <c r="CQ12" t="str">
        <v>0.000011</v>
      </c>
      <c r="CR12" t="str">
        <v>1.000000</v>
      </c>
      <c r="CS12" t="str">
        <v>0.601157</v>
      </c>
      <c r="CT12" t="str">
        <v>0.601293</v>
      </c>
      <c r="CU12" t="str">
        <v>0.106749</v>
      </c>
      <c r="CV12" t="str">
        <v>0.000000</v>
      </c>
      <c r="CW12" t="str">
        <v>PSF-01031_20251208223056_155</v>
      </c>
      <c r="CX12" t="str">
        <v>PFA-00872</v>
      </c>
      <c r="CY12" t="str">
        <v>PSA-00872</v>
      </c>
      <c r="CZ12" t="str">
        <v>PSF-01031</v>
      </c>
      <c r="DA12" t="str">
        <v>RHS-0785</v>
      </c>
      <c r="DB12" t="str">
        <v>3.0.0</v>
      </c>
      <c r="DC12" t="str">
        <v>2025-07-31T17:03:34.552Z</v>
      </c>
    </row>
    <row r="13">
      <c r="A13" t="str">
        <v>10</v>
      </c>
      <c r="B13" t="str">
        <v>22:31:15</v>
      </c>
      <c r="C13" t="str">
        <v>2025-12-08</v>
      </c>
      <c r="D13" t="str">
        <v>FB_Fl_Dark_8k</v>
      </c>
      <c r="E13" t="str">
        <v>Fern</v>
      </c>
      <c r="F13" t="str">
        <v/>
      </c>
      <c r="G13" t="str">
        <v/>
      </c>
      <c r="H13" t="str">
        <v/>
      </c>
      <c r="I13" t="str">
        <v/>
      </c>
      <c r="J13" t="str">
        <f>1/((1/L13)-(1/K13))</f>
        <v>0.001537</v>
      </c>
      <c r="K13" t="str">
        <f>BH13+(BI13*AN13)+(BJ13*AN13*POWER(V13,2))+(BK13*AN13*V13)+(BL13*POWER(AN13,2))</f>
        <v>0.034023</v>
      </c>
      <c r="L13" t="str">
        <f>((M13/1000)*(1000-((T13+S13)/2)))/(T13-S13)</f>
        <v>0.001470</v>
      </c>
      <c r="M13" t="str">
        <f>(AN13*(S13-R13))/(100*U13*(1000-S13))*1000</f>
        <v>0.020859</v>
      </c>
      <c r="N13" t="str">
        <v>1.030613</v>
      </c>
      <c r="O13" t="str">
        <v>0.957680</v>
      </c>
      <c r="P13" t="str">
        <f>0.61365*EXP((17.502*AL13)/(240.97+AL13))</f>
        <v>2.331840</v>
      </c>
      <c r="Q13" t="str">
        <f>P13-N13</f>
        <v>1.301227</v>
      </c>
      <c r="R13" t="str">
        <v>10.253397</v>
      </c>
      <c r="S13" t="str">
        <v>11.034252</v>
      </c>
      <c r="T13" t="str">
        <f>(P13/AM13)*1000</f>
        <v>24.965830</v>
      </c>
      <c r="U13" t="str">
        <f>V13*BG13</f>
        <v>0.441786</v>
      </c>
      <c r="V13" t="str">
        <v>7.500000</v>
      </c>
      <c r="W13" t="str">
        <v>PSF-01031_20251208223115_151</v>
      </c>
      <c r="X13" t="str">
        <v>106.168274</v>
      </c>
      <c r="Y13" t="str">
        <v>113.301155</v>
      </c>
      <c r="Z13" t="str">
        <v>0.062955</v>
      </c>
      <c r="AA13" t="str">
        <v>0.000000</v>
      </c>
      <c r="AB13" t="str">
        <v>0.000000</v>
      </c>
      <c r="AC13" t="str">
        <v>0.000000</v>
      </c>
      <c r="AD13" t="str">
        <v>0.5</v>
      </c>
      <c r="AE13" t="str">
        <v>0.80</v>
      </c>
      <c r="AF13" t="str">
        <f>AC13*AD13*AE13*AQ13</f>
        <v>0.126773</v>
      </c>
      <c r="AG13" t="str">
        <v>1.000000</v>
      </c>
      <c r="AH13" t="str">
        <v>42.45</v>
      </c>
      <c r="AI13" t="str">
        <v>39.45</v>
      </c>
      <c r="AJ13" t="str">
        <v>20.55</v>
      </c>
      <c r="AK13" t="str">
        <v>19.90</v>
      </c>
      <c r="AL13" t="str">
        <f>(AK13-AJ13)*(AJ13*0+0)+AK13</f>
        <v>19.90</v>
      </c>
      <c r="AM13" t="str">
        <v>93.40</v>
      </c>
      <c r="AN13" t="str">
        <v>1.2</v>
      </c>
      <c r="AO13" t="str">
        <v>-15.6</v>
      </c>
      <c r="AP13" t="str">
        <v>1436.3</v>
      </c>
      <c r="AQ13" t="str">
        <v>5</v>
      </c>
      <c r="AR13" t="str">
        <v>3.901</v>
      </c>
      <c r="AS13" t="str">
        <v>22:26:57</v>
      </c>
      <c r="AT13" t="str">
        <v>2025-12-08</v>
      </c>
      <c r="AU13" t="str">
        <v>6.66</v>
      </c>
      <c r="AV13" t="str">
        <v>1</v>
      </c>
      <c r="AW13" t="str">
        <v>0.000</v>
      </c>
      <c r="AX13" t="str">
        <v>0.000</v>
      </c>
      <c r="AY13" t="str">
        <v>0.001</v>
      </c>
      <c r="AZ13" t="str">
        <v>-0.069</v>
      </c>
      <c r="BA13" t="str">
        <v>0.436</v>
      </c>
      <c r="BB13" t="str">
        <v>0.684</v>
      </c>
      <c r="BC13" t="str">
        <v>0</v>
      </c>
      <c r="BD13" t="str">
        <v>150</v>
      </c>
      <c r="BE13" t="str">
        <v>-9999.000</v>
      </c>
      <c r="BF13" t="str">
        <v>-9999.000000</v>
      </c>
      <c r="BG13" t="str">
        <v>0.058905</v>
      </c>
      <c r="BH13" t="str">
        <v>0.000000</v>
      </c>
      <c r="BI13" t="str">
        <v>0.029230</v>
      </c>
      <c r="BJ13" t="str">
        <v>0.000000</v>
      </c>
      <c r="BK13" t="str">
        <v>0.000000</v>
      </c>
      <c r="BL13" t="str">
        <v>-0.000068</v>
      </c>
      <c r="BM13" t="str">
        <v>standard</v>
      </c>
      <c r="BN13" t="str">
        <v>1</v>
      </c>
      <c r="BO13" t="str">
        <v>rectangular</v>
      </c>
      <c r="BP13" t="str">
        <v>8000</v>
      </c>
      <c r="BQ13" t="str">
        <v>5</v>
      </c>
      <c r="BR13" t="str">
        <v>-9999.000000</v>
      </c>
      <c r="BS13" t="str">
        <v>-9999.000000</v>
      </c>
      <c r="BT13" t="str">
        <v>55537</v>
      </c>
      <c r="BU13" t="str">
        <v>55537</v>
      </c>
      <c r="BV13" t="str">
        <v>55537</v>
      </c>
      <c r="BW13" t="str">
        <v>0.000000</v>
      </c>
      <c r="BX13" t="str">
        <v>-9999</v>
      </c>
      <c r="BY13" t="str">
        <v>0.000000</v>
      </c>
      <c r="BZ13" t="str">
        <v>0.000000</v>
      </c>
      <c r="CA13" t="str">
        <v>0.000000</v>
      </c>
      <c r="CB13" t="str">
        <v>0.000000</v>
      </c>
      <c r="CC13" t="str">
        <v>2.472469</v>
      </c>
      <c r="CD13" t="str">
        <v>2.433487</v>
      </c>
      <c r="CE13" t="str">
        <v>0.607070</v>
      </c>
      <c r="CF13" t="str">
        <v>0.573164</v>
      </c>
      <c r="CG13" t="str">
        <v>0.325926</v>
      </c>
      <c r="CH13" t="str">
        <v>-0.006219</v>
      </c>
      <c r="CI13" t="str">
        <v>0.076717</v>
      </c>
      <c r="CJ13" t="str">
        <v>0.111392</v>
      </c>
      <c r="CK13" t="str">
        <v>106.033798</v>
      </c>
      <c r="CL13" t="str">
        <v>0.000211</v>
      </c>
      <c r="CM13" t="str">
        <v>2.405086</v>
      </c>
      <c r="CN13" t="str">
        <v>0.000013</v>
      </c>
      <c r="CO13" t="str">
        <v>1.000000</v>
      </c>
      <c r="CP13" t="str">
        <v>2.372866</v>
      </c>
      <c r="CQ13" t="str">
        <v>0.000011</v>
      </c>
      <c r="CR13" t="str">
        <v>1.000000</v>
      </c>
      <c r="CS13" t="str">
        <v>0.601157</v>
      </c>
      <c r="CT13" t="str">
        <v>0.601293</v>
      </c>
      <c r="CU13" t="str">
        <v>0.106749</v>
      </c>
      <c r="CV13" t="str">
        <v>0.000000</v>
      </c>
      <c r="CW13" t="str">
        <v>PSF-01031_20251208223115_151</v>
      </c>
      <c r="CX13" t="str">
        <v>PFA-00872</v>
      </c>
      <c r="CY13" t="str">
        <v>PSA-00872</v>
      </c>
      <c r="CZ13" t="str">
        <v>PSF-01031</v>
      </c>
      <c r="DA13" t="str">
        <v>RHS-0785</v>
      </c>
      <c r="DB13" t="str">
        <v>3.0.0</v>
      </c>
      <c r="DC13" t="str">
        <v>2025-07-31T17:03:34.552Z</v>
      </c>
    </row>
    <row r="14">
      <c r="A14" t="str">
        <v>11</v>
      </c>
      <c r="B14" t="str">
        <v>22:33:20</v>
      </c>
      <c r="C14" t="str">
        <v>2025-12-08</v>
      </c>
      <c r="D14" t="str">
        <v>FB_Fl_Dark_8k</v>
      </c>
      <c r="E14" t="str">
        <v>Fern</v>
      </c>
      <c r="F14" t="str">
        <v/>
      </c>
      <c r="G14" t="str">
        <v/>
      </c>
      <c r="H14" t="str">
        <v/>
      </c>
      <c r="I14" t="str">
        <v/>
      </c>
      <c r="J14" t="str">
        <f>1/((1/L14)-(1/K14))</f>
        <v>0.000954</v>
      </c>
      <c r="K14" t="str">
        <f>BH14+(BI14*AN14)+(BJ14*AN14*POWER(V14,2))+(BK14*AN14*V14)+(BL14*POWER(AN14,2))</f>
        <v>0.036350</v>
      </c>
      <c r="L14" t="str">
        <f>((M14/1000)*(1000-((T14+S14)/2)))/(T14-S14)</f>
        <v>0.000929</v>
      </c>
      <c r="M14" t="str">
        <f>(AN14*(S14-R14))/(100*U14*(1000-S14))*1000</f>
        <v>0.017514</v>
      </c>
      <c r="N14" t="str">
        <v>1.041974</v>
      </c>
      <c r="O14" t="str">
        <v>0.984669</v>
      </c>
      <c r="P14" t="str">
        <f>0.61365*EXP((17.502*AL14)/(240.97+AL14))</f>
        <v>2.766186</v>
      </c>
      <c r="Q14" t="str">
        <f>P14-N14</f>
        <v>1.724212</v>
      </c>
      <c r="R14" t="str">
        <v>10.540998</v>
      </c>
      <c r="S14" t="str">
        <v>11.154452</v>
      </c>
      <c r="T14" t="str">
        <f>(P14/AM14)*1000</f>
        <v>29.612347</v>
      </c>
      <c r="U14" t="str">
        <f>V14*BG14</f>
        <v>0.441786</v>
      </c>
      <c r="V14" t="str">
        <v>7.500000</v>
      </c>
      <c r="W14" t="str">
        <v>PSF-01031_20251208223320_576</v>
      </c>
      <c r="X14" t="str">
        <v>43.238640</v>
      </c>
      <c r="Y14" t="str">
        <v>185.621017</v>
      </c>
      <c r="Z14" t="str">
        <v>0.767060</v>
      </c>
      <c r="AA14" t="str">
        <v>0.000000</v>
      </c>
      <c r="AB14" t="str">
        <v>0.000000</v>
      </c>
      <c r="AC14" t="str">
        <v>0.000000</v>
      </c>
      <c r="AD14" t="str">
        <v>0.5</v>
      </c>
      <c r="AE14" t="str">
        <v>0.80</v>
      </c>
      <c r="AF14" t="str">
        <f>AC14*AD14*AE14*AQ14</f>
        <v>0.848834</v>
      </c>
      <c r="AG14" t="str">
        <v>1.000000</v>
      </c>
      <c r="AH14" t="str">
        <v>41.83</v>
      </c>
      <c r="AI14" t="str">
        <v>39.53</v>
      </c>
      <c r="AJ14" t="str">
        <v>20.97</v>
      </c>
      <c r="AK14" t="str">
        <v>22.68</v>
      </c>
      <c r="AL14" t="str">
        <f>(AK14-AJ14)*(AJ14*0+0)+AK14</f>
        <v>22.68</v>
      </c>
      <c r="AM14" t="str">
        <v>93.41</v>
      </c>
      <c r="AN14" t="str">
        <v>1.2</v>
      </c>
      <c r="AO14" t="str">
        <v>-16.7</v>
      </c>
      <c r="AP14" t="str">
        <v>1435.1</v>
      </c>
      <c r="AQ14" t="str">
        <v>3</v>
      </c>
      <c r="AR14" t="str">
        <v>3.899</v>
      </c>
      <c r="AS14" t="str">
        <v>22:26:57</v>
      </c>
      <c r="AT14" t="str">
        <v>2025-12-08</v>
      </c>
      <c r="AU14" t="str">
        <v>6.66</v>
      </c>
      <c r="AV14" t="str">
        <v>1</v>
      </c>
      <c r="AW14" t="str">
        <v>0.000</v>
      </c>
      <c r="AX14" t="str">
        <v>0.000</v>
      </c>
      <c r="AY14" t="str">
        <v>0.000</v>
      </c>
      <c r="AZ14" t="str">
        <v>-0.418</v>
      </c>
      <c r="BA14" t="str">
        <v>0.134</v>
      </c>
      <c r="BB14" t="str">
        <v>-0.356</v>
      </c>
      <c r="BC14" t="str">
        <v>0</v>
      </c>
      <c r="BD14" t="str">
        <v>150</v>
      </c>
      <c r="BE14" t="str">
        <v>-9999.000</v>
      </c>
      <c r="BF14" t="str">
        <v>-9999.000000</v>
      </c>
      <c r="BG14" t="str">
        <v>0.058905</v>
      </c>
      <c r="BH14" t="str">
        <v>0.000000</v>
      </c>
      <c r="BI14" t="str">
        <v>0.029230</v>
      </c>
      <c r="BJ14" t="str">
        <v>0.000000</v>
      </c>
      <c r="BK14" t="str">
        <v>0.000000</v>
      </c>
      <c r="BL14" t="str">
        <v>-0.000068</v>
      </c>
      <c r="BM14" t="str">
        <v>standard</v>
      </c>
      <c r="BN14" t="str">
        <v>1</v>
      </c>
      <c r="BO14" t="str">
        <v>rectangular</v>
      </c>
      <c r="BP14" t="str">
        <v>8000</v>
      </c>
      <c r="BQ14" t="str">
        <v>5</v>
      </c>
      <c r="BR14" t="str">
        <v>-9999.000000</v>
      </c>
      <c r="BS14" t="str">
        <v>-9999.000000</v>
      </c>
      <c r="BT14" t="str">
        <v>55537</v>
      </c>
      <c r="BU14" t="str">
        <v>55537</v>
      </c>
      <c r="BV14" t="str">
        <v>55537</v>
      </c>
      <c r="BW14" t="str">
        <v>0.000000</v>
      </c>
      <c r="BX14" t="str">
        <v>-9999</v>
      </c>
      <c r="BY14" t="str">
        <v>0.000000</v>
      </c>
      <c r="BZ14" t="str">
        <v>0.000000</v>
      </c>
      <c r="CA14" t="str">
        <v>0.000000</v>
      </c>
      <c r="CB14" t="str">
        <v>0.000000</v>
      </c>
      <c r="CC14" t="str">
        <v>2.472520</v>
      </c>
      <c r="CD14" t="str">
        <v>2.432514</v>
      </c>
      <c r="CE14" t="str">
        <v>0.607477</v>
      </c>
      <c r="CF14" t="str">
        <v>0.571283</v>
      </c>
      <c r="CG14" t="str">
        <v>0.320494</v>
      </c>
      <c r="CH14" t="str">
        <v>0.020506</v>
      </c>
      <c r="CI14" t="str">
        <v>0.091004</v>
      </c>
      <c r="CJ14" t="str">
        <v>0.109300</v>
      </c>
      <c r="CK14" t="str">
        <v>43.238640</v>
      </c>
      <c r="CL14" t="str">
        <v>0.000214</v>
      </c>
      <c r="CM14" t="str">
        <v>2.405086</v>
      </c>
      <c r="CN14" t="str">
        <v>0.000013</v>
      </c>
      <c r="CO14" t="str">
        <v>1.000000</v>
      </c>
      <c r="CP14" t="str">
        <v>2.372866</v>
      </c>
      <c r="CQ14" t="str">
        <v>0.000011</v>
      </c>
      <c r="CR14" t="str">
        <v>1.000000</v>
      </c>
      <c r="CS14" t="str">
        <v>0.601157</v>
      </c>
      <c r="CT14" t="str">
        <v>0.601293</v>
      </c>
      <c r="CU14" t="str">
        <v>0.106749</v>
      </c>
      <c r="CV14" t="str">
        <v>0.000000</v>
      </c>
      <c r="CW14" t="str">
        <v>PSF-01031_20251208223320_576</v>
      </c>
      <c r="CX14" t="str">
        <v>PFA-00872</v>
      </c>
      <c r="CY14" t="str">
        <v>PSA-00872</v>
      </c>
      <c r="CZ14" t="str">
        <v>PSF-01031</v>
      </c>
      <c r="DA14" t="str">
        <v>RHS-0785</v>
      </c>
      <c r="DB14" t="str">
        <v>3.0.0</v>
      </c>
      <c r="DC14" t="str">
        <v>2025-07-31T17:03:34.552Z</v>
      </c>
    </row>
    <row r="15">
      <c r="A15" t="str">
        <v>12</v>
      </c>
      <c r="B15" t="str">
        <v>22:34:00</v>
      </c>
      <c r="C15" t="str">
        <v>2025-12-08</v>
      </c>
      <c r="D15" t="str">
        <v>FB_Fl_Dark_8k</v>
      </c>
      <c r="E15" t="str">
        <v>Fern</v>
      </c>
      <c r="F15" t="str">
        <v/>
      </c>
      <c r="G15" t="str">
        <v/>
      </c>
      <c r="H15" t="str">
        <v/>
      </c>
      <c r="I15" t="str">
        <v/>
      </c>
      <c r="J15" t="str">
        <f>1/((1/L15)-(1/K15))</f>
        <v>0.009554</v>
      </c>
      <c r="K15" t="str">
        <f>BH15+(BI15*AN15)+(BJ15*AN15*POWER(V15,2))+(BK15*AN15*V15)+(BL15*POWER(AN15,2))</f>
        <v>0.034474</v>
      </c>
      <c r="L15" t="str">
        <f>((M15/1000)*(1000-((T15+S15)/2)))/(T15-S15)</f>
        <v>0.007481</v>
      </c>
      <c r="M15" t="str">
        <f>(AN15*(S15-R15))/(100*U15*(1000-S15))*1000</f>
        <v>0.092415</v>
      </c>
      <c r="N15" t="str">
        <v>1.312686</v>
      </c>
      <c r="O15" t="str">
        <v>0.994707</v>
      </c>
      <c r="P15" t="str">
        <f>0.61365*EXP((17.502*AL15)/(240.97+AL15))</f>
        <v>2.443590</v>
      </c>
      <c r="Q15" t="str">
        <f>P15-N15</f>
        <v>1.130903</v>
      </c>
      <c r="R15" t="str">
        <v>10.647804</v>
      </c>
      <c r="S15" t="str">
        <v>14.051600</v>
      </c>
      <c r="T15" t="str">
        <f>(P15/AM15)*1000</f>
        <v>26.157310</v>
      </c>
      <c r="U15" t="str">
        <f>V15*BG15</f>
        <v>0.441786</v>
      </c>
      <c r="V15" t="str">
        <v>7.500000</v>
      </c>
      <c r="W15" t="str">
        <v>PSF-01031_20251208223400_d09</v>
      </c>
      <c r="X15" t="str">
        <v>31.401157</v>
      </c>
      <c r="Y15" t="str">
        <v>138.870834</v>
      </c>
      <c r="Z15" t="str">
        <v>0.773882</v>
      </c>
      <c r="AA15" t="str">
        <v>0.000000</v>
      </c>
      <c r="AB15" t="str">
        <v>0.000000</v>
      </c>
      <c r="AC15" t="str">
        <v>0.000000</v>
      </c>
      <c r="AD15" t="str">
        <v>0.5</v>
      </c>
      <c r="AE15" t="str">
        <v>0.80</v>
      </c>
      <c r="AF15" t="str">
        <f>AC15*AD15*AE15*AQ15</f>
        <v>0.722780</v>
      </c>
      <c r="AG15" t="str">
        <v>1.000000</v>
      </c>
      <c r="AH15" t="str">
        <v>52.28</v>
      </c>
      <c r="AI15" t="str">
        <v>39.62</v>
      </c>
      <c r="AJ15" t="str">
        <v>21.10</v>
      </c>
      <c r="AK15" t="str">
        <v>20.66</v>
      </c>
      <c r="AL15" t="str">
        <f>(AK15-AJ15)*(AJ15*0+0)+AK15</f>
        <v>20.66</v>
      </c>
      <c r="AM15" t="str">
        <v>93.42</v>
      </c>
      <c r="AN15" t="str">
        <v>1.2</v>
      </c>
      <c r="AO15" t="str">
        <v>-16.2</v>
      </c>
      <c r="AP15" t="str">
        <v>1471.1</v>
      </c>
      <c r="AQ15" t="str">
        <v>2</v>
      </c>
      <c r="AR15" t="str">
        <v>3.897</v>
      </c>
      <c r="AS15" t="str">
        <v>22:26:57</v>
      </c>
      <c r="AT15" t="str">
        <v>2025-12-08</v>
      </c>
      <c r="AU15" t="str">
        <v>6.66</v>
      </c>
      <c r="AV15" t="str">
        <v>1</v>
      </c>
      <c r="AW15" t="str">
        <v>0.001</v>
      </c>
      <c r="AX15" t="str">
        <v>0.001</v>
      </c>
      <c r="AY15" t="str">
        <v>0.005</v>
      </c>
      <c r="AZ15" t="str">
        <v>-0.040</v>
      </c>
      <c r="BA15" t="str">
        <v>-0.131</v>
      </c>
      <c r="BB15" t="str">
        <v>-1.024</v>
      </c>
      <c r="BC15" t="str">
        <v>0</v>
      </c>
      <c r="BD15" t="str">
        <v>150</v>
      </c>
      <c r="BE15" t="str">
        <v>-9999.000</v>
      </c>
      <c r="BF15" t="str">
        <v>-9999.000000</v>
      </c>
      <c r="BG15" t="str">
        <v>0.058905</v>
      </c>
      <c r="BH15" t="str">
        <v>0.000000</v>
      </c>
      <c r="BI15" t="str">
        <v>0.029230</v>
      </c>
      <c r="BJ15" t="str">
        <v>0.000000</v>
      </c>
      <c r="BK15" t="str">
        <v>0.000000</v>
      </c>
      <c r="BL15" t="str">
        <v>-0.000068</v>
      </c>
      <c r="BM15" t="str">
        <v>standard</v>
      </c>
      <c r="BN15" t="str">
        <v>1</v>
      </c>
      <c r="BO15" t="str">
        <v>rectangular</v>
      </c>
      <c r="BP15" t="str">
        <v>8000</v>
      </c>
      <c r="BQ15" t="str">
        <v>5</v>
      </c>
      <c r="BR15" t="str">
        <v>-9999.000000</v>
      </c>
      <c r="BS15" t="str">
        <v>-9999.000000</v>
      </c>
      <c r="BT15" t="str">
        <v>55537</v>
      </c>
      <c r="BU15" t="str">
        <v>55537</v>
      </c>
      <c r="BV15" t="str">
        <v>55537</v>
      </c>
      <c r="BW15" t="str">
        <v>0.000000</v>
      </c>
      <c r="BX15" t="str">
        <v>-9999</v>
      </c>
      <c r="BY15" t="str">
        <v>0.000000</v>
      </c>
      <c r="BZ15" t="str">
        <v>0.000000</v>
      </c>
      <c r="CA15" t="str">
        <v>0.000000</v>
      </c>
      <c r="CB15" t="str">
        <v>0.000000</v>
      </c>
      <c r="CC15" t="str">
        <v>2.472625</v>
      </c>
      <c r="CD15" t="str">
        <v>2.447379</v>
      </c>
      <c r="CE15" t="str">
        <v>0.607149</v>
      </c>
      <c r="CF15" t="str">
        <v>0.572062</v>
      </c>
      <c r="CG15" t="str">
        <v>0.318827</v>
      </c>
      <c r="CH15" t="str">
        <v>-0.003949</v>
      </c>
      <c r="CI15" t="str">
        <v>0.095474</v>
      </c>
      <c r="CJ15" t="str">
        <v>0.108902</v>
      </c>
      <c r="CK15" t="str">
        <v>31.401157</v>
      </c>
      <c r="CL15" t="str">
        <v>0.000211</v>
      </c>
      <c r="CM15" t="str">
        <v>2.405086</v>
      </c>
      <c r="CN15" t="str">
        <v>0.000013</v>
      </c>
      <c r="CO15" t="str">
        <v>1.000000</v>
      </c>
      <c r="CP15" t="str">
        <v>2.372866</v>
      </c>
      <c r="CQ15" t="str">
        <v>0.000011</v>
      </c>
      <c r="CR15" t="str">
        <v>1.000000</v>
      </c>
      <c r="CS15" t="str">
        <v>0.601157</v>
      </c>
      <c r="CT15" t="str">
        <v>0.601293</v>
      </c>
      <c r="CU15" t="str">
        <v>0.106749</v>
      </c>
      <c r="CV15" t="str">
        <v>0.000000</v>
      </c>
      <c r="CW15" t="str">
        <v>PSF-01031_20251208223400_d09</v>
      </c>
      <c r="CX15" t="str">
        <v>PFA-00872</v>
      </c>
      <c r="CY15" t="str">
        <v>PSA-00872</v>
      </c>
      <c r="CZ15" t="str">
        <v>PSF-01031</v>
      </c>
      <c r="DA15" t="str">
        <v>RHS-0785</v>
      </c>
      <c r="DB15" t="str">
        <v>3.0.0</v>
      </c>
      <c r="DC15" t="str">
        <v>2025-07-31T17:03:34.552Z</v>
      </c>
    </row>
    <row r="16">
      <c r="A16" t="str">
        <v>13</v>
      </c>
      <c r="B16" t="str">
        <v>22:34:48</v>
      </c>
      <c r="C16" t="str">
        <v>2025-12-08</v>
      </c>
      <c r="D16" t="str">
        <v>FB_Fl_Dark_8k</v>
      </c>
      <c r="E16" t="str">
        <v>Fern</v>
      </c>
      <c r="F16" t="str">
        <v/>
      </c>
      <c r="G16" t="str">
        <v/>
      </c>
      <c r="H16" t="str">
        <v/>
      </c>
      <c r="I16" t="str">
        <v/>
      </c>
      <c r="J16" t="str">
        <f>1/((1/L16)-(1/K16))</f>
        <v>0.003012</v>
      </c>
      <c r="K16" t="str">
        <f>BH16+(BI16*AN16)+(BJ16*AN16*POWER(V16,2))+(BK16*AN16*V16)+(BL16*POWER(AN16,2))</f>
        <v>0.034052</v>
      </c>
      <c r="L16" t="str">
        <f>((M16/1000)*(1000-((T16+S16)/2)))/(T16-S16)</f>
        <v>0.002767</v>
      </c>
      <c r="M16" t="str">
        <f>(AN16*(S16-R16))/(100*U16*(1000-S16))*1000</f>
        <v>0.026157</v>
      </c>
      <c r="N16" t="str">
        <v>1.096391</v>
      </c>
      <c r="O16" t="str">
        <v>1.005071</v>
      </c>
      <c r="P16" t="str">
        <f>0.61365*EXP((17.502*AL16)/(240.97+AL16))</f>
        <v>1.964896</v>
      </c>
      <c r="Q16" t="str">
        <f>P16-N16</f>
        <v>0.868505</v>
      </c>
      <c r="R16" t="str">
        <v>10.760207</v>
      </c>
      <c r="S16" t="str">
        <v>11.737882</v>
      </c>
      <c r="T16" t="str">
        <f>(P16/AM16)*1000</f>
        <v>21.036026</v>
      </c>
      <c r="U16" t="str">
        <f>V16*BG16</f>
        <v>0.441786</v>
      </c>
      <c r="V16" t="str">
        <v>7.500000</v>
      </c>
      <c r="W16" t="str">
        <v>PSF-01031_20251208223448_a81</v>
      </c>
      <c r="X16" t="str">
        <v>86.434723</v>
      </c>
      <c r="Y16" t="str">
        <v>445.695526</v>
      </c>
      <c r="Z16" t="str">
        <v>0.806068</v>
      </c>
      <c r="AA16" t="str">
        <v>0.000000</v>
      </c>
      <c r="AB16" t="str">
        <v>0.000000</v>
      </c>
      <c r="AC16" t="str">
        <v>0.000000</v>
      </c>
      <c r="AD16" t="str">
        <v>0.5</v>
      </c>
      <c r="AE16" t="str">
        <v>0.80</v>
      </c>
      <c r="AF16" t="str">
        <f>AC16*AD16*AE16*AQ16</f>
        <v>1.542668</v>
      </c>
      <c r="AG16" t="str">
        <v>1.000000</v>
      </c>
      <c r="AH16" t="str">
        <v>43.24</v>
      </c>
      <c r="AI16" t="str">
        <v>39.64</v>
      </c>
      <c r="AJ16" t="str">
        <v>21.25</v>
      </c>
      <c r="AK16" t="str">
        <v>17.16</v>
      </c>
      <c r="AL16" t="str">
        <f>(AK16-AJ16)*(AJ16*0+0)+AK16</f>
        <v>17.16</v>
      </c>
      <c r="AM16" t="str">
        <v>93.41</v>
      </c>
      <c r="AN16" t="str">
        <v>1.2</v>
      </c>
      <c r="AO16" t="str">
        <v>-16.0</v>
      </c>
      <c r="AP16" t="str">
        <v>1471.3</v>
      </c>
      <c r="AQ16" t="str">
        <v>5</v>
      </c>
      <c r="AR16" t="str">
        <v>3.895</v>
      </c>
      <c r="AS16" t="str">
        <v>22:26:57</v>
      </c>
      <c r="AT16" t="str">
        <v>2025-12-08</v>
      </c>
      <c r="AU16" t="str">
        <v>6.66</v>
      </c>
      <c r="AV16" t="str">
        <v>1</v>
      </c>
      <c r="AW16" t="str">
        <v>-0.000</v>
      </c>
      <c r="AX16" t="str">
        <v>0.000</v>
      </c>
      <c r="AY16" t="str">
        <v>0.000</v>
      </c>
      <c r="AZ16" t="str">
        <v>0.103</v>
      </c>
      <c r="BA16" t="str">
        <v>-0.019</v>
      </c>
      <c r="BB16" t="str">
        <v>0.171</v>
      </c>
      <c r="BC16" t="str">
        <v>0</v>
      </c>
      <c r="BD16" t="str">
        <v>150</v>
      </c>
      <c r="BE16" t="str">
        <v>-9999.000</v>
      </c>
      <c r="BF16" t="str">
        <v>-9999.000000</v>
      </c>
      <c r="BG16" t="str">
        <v>0.058905</v>
      </c>
      <c r="BH16" t="str">
        <v>0.000000</v>
      </c>
      <c r="BI16" t="str">
        <v>0.029230</v>
      </c>
      <c r="BJ16" t="str">
        <v>0.000000</v>
      </c>
      <c r="BK16" t="str">
        <v>0.000000</v>
      </c>
      <c r="BL16" t="str">
        <v>-0.000068</v>
      </c>
      <c r="BM16" t="str">
        <v>standard</v>
      </c>
      <c r="BN16" t="str">
        <v>1</v>
      </c>
      <c r="BO16" t="str">
        <v>rectangular</v>
      </c>
      <c r="BP16" t="str">
        <v>8000</v>
      </c>
      <c r="BQ16" t="str">
        <v>5</v>
      </c>
      <c r="BR16" t="str">
        <v>-9999.000000</v>
      </c>
      <c r="BS16" t="str">
        <v>-9999.000000</v>
      </c>
      <c r="BT16" t="str">
        <v>55537</v>
      </c>
      <c r="BU16" t="str">
        <v>55537</v>
      </c>
      <c r="BV16" t="str">
        <v>55537</v>
      </c>
      <c r="BW16" t="str">
        <v>0.000000</v>
      </c>
      <c r="BX16" t="str">
        <v>-9999</v>
      </c>
      <c r="BY16" t="str">
        <v>0.000000</v>
      </c>
      <c r="BZ16" t="str">
        <v>0.000000</v>
      </c>
      <c r="CA16" t="str">
        <v>0.000000</v>
      </c>
      <c r="CB16" t="str">
        <v>0.000000</v>
      </c>
      <c r="CC16" t="str">
        <v>2.472641</v>
      </c>
      <c r="CD16" t="str">
        <v>2.434525</v>
      </c>
      <c r="CE16" t="str">
        <v>0.607075</v>
      </c>
      <c r="CF16" t="str">
        <v>0.572411</v>
      </c>
      <c r="CG16" t="str">
        <v>0.316817</v>
      </c>
      <c r="CH16" t="str">
        <v>-0.044090</v>
      </c>
      <c r="CI16" t="str">
        <v>0.100663</v>
      </c>
      <c r="CJ16" t="str">
        <v>0.111161</v>
      </c>
      <c r="CK16" t="str">
        <v>86.434723</v>
      </c>
      <c r="CL16" t="str">
        <v>0.000209</v>
      </c>
      <c r="CM16" t="str">
        <v>2.405086</v>
      </c>
      <c r="CN16" t="str">
        <v>0.000013</v>
      </c>
      <c r="CO16" t="str">
        <v>1.000000</v>
      </c>
      <c r="CP16" t="str">
        <v>2.372866</v>
      </c>
      <c r="CQ16" t="str">
        <v>0.000011</v>
      </c>
      <c r="CR16" t="str">
        <v>1.000000</v>
      </c>
      <c r="CS16" t="str">
        <v>0.601157</v>
      </c>
      <c r="CT16" t="str">
        <v>0.601293</v>
      </c>
      <c r="CU16" t="str">
        <v>0.106749</v>
      </c>
      <c r="CV16" t="str">
        <v>0.000000</v>
      </c>
      <c r="CW16" t="str">
        <v>PSF-01031_20251208223448_a81</v>
      </c>
      <c r="CX16" t="str">
        <v>PFA-00872</v>
      </c>
      <c r="CY16" t="str">
        <v>PSA-00872</v>
      </c>
      <c r="CZ16" t="str">
        <v>PSF-01031</v>
      </c>
      <c r="DA16" t="str">
        <v>RHS-0785</v>
      </c>
      <c r="DB16" t="str">
        <v>3.0.0</v>
      </c>
      <c r="DC16" t="str">
        <v>2025-07-31T17:03:34.552Z</v>
      </c>
    </row>
    <row r="17">
      <c r="A17" t="str">
        <v>14</v>
      </c>
      <c r="B17" t="str">
        <v>22:35:07</v>
      </c>
      <c r="C17" t="str">
        <v>2025-12-08</v>
      </c>
      <c r="D17" t="str">
        <v>FB_Fl_Dark_8k</v>
      </c>
      <c r="E17" t="str">
        <v>Fern</v>
      </c>
      <c r="F17" t="str">
        <v/>
      </c>
      <c r="G17" t="str">
        <v/>
      </c>
      <c r="H17" t="str">
        <v/>
      </c>
      <c r="I17" t="str">
        <v/>
      </c>
      <c r="J17" t="str">
        <f>1/((1/L17)-(1/K17))</f>
        <v>0.002557</v>
      </c>
      <c r="K17" t="str">
        <f>BH17+(BI17*AN17)+(BJ17*AN17*POWER(V17,2))+(BK17*AN17*V17)+(BL17*POWER(AN17,2))</f>
        <v>0.034195</v>
      </c>
      <c r="L17" t="str">
        <f>((M17/1000)*(1000-((T17+S17)/2)))/(T17-S17)</f>
        <v>0.002379</v>
      </c>
      <c r="M17" t="str">
        <f>(AN17*(S17-R17))/(100*U17*(1000-S17))*1000</f>
        <v>0.035533</v>
      </c>
      <c r="N17" t="str">
        <v>1.132420</v>
      </c>
      <c r="O17" t="str">
        <v>1.008938</v>
      </c>
      <c r="P17" t="str">
        <f>0.61365*EXP((17.502*AL17)/(240.97+AL17))</f>
        <v>2.500207</v>
      </c>
      <c r="Q17" t="str">
        <f>P17-N17</f>
        <v>1.367786</v>
      </c>
      <c r="R17" t="str">
        <v>10.801580</v>
      </c>
      <c r="S17" t="str">
        <v>12.123570</v>
      </c>
      <c r="T17" t="str">
        <f>(P17/AM17)*1000</f>
        <v>26.766945</v>
      </c>
      <c r="U17" t="str">
        <f>V17*BG17</f>
        <v>0.441786</v>
      </c>
      <c r="V17" t="str">
        <v>7.500000</v>
      </c>
      <c r="W17" t="str">
        <v>PSF-01031_20251208223507_166</v>
      </c>
      <c r="X17" t="str">
        <v>56.384323</v>
      </c>
      <c r="Y17" t="str">
        <v>55.863262</v>
      </c>
      <c r="Z17" t="str">
        <v>-0.009327</v>
      </c>
      <c r="AA17" t="str">
        <v>0.000000</v>
      </c>
      <c r="AB17" t="str">
        <v>0.000000</v>
      </c>
      <c r="AC17" t="str">
        <v>0.000000</v>
      </c>
      <c r="AD17" t="str">
        <v>0.5</v>
      </c>
      <c r="AE17" t="str">
        <v>0.80</v>
      </c>
      <c r="AF17" t="str">
        <f>AC17*AD17*AE17*AQ17</f>
        <v>-0.018680</v>
      </c>
      <c r="AG17" t="str">
        <v>1.000000</v>
      </c>
      <c r="AH17" t="str">
        <v>44.51</v>
      </c>
      <c r="AI17" t="str">
        <v>39.65</v>
      </c>
      <c r="AJ17" t="str">
        <v>21.31</v>
      </c>
      <c r="AK17" t="str">
        <v>21.03</v>
      </c>
      <c r="AL17" t="str">
        <f>(AK17-AJ17)*(AJ17*0+0)+AK17</f>
        <v>21.03</v>
      </c>
      <c r="AM17" t="str">
        <v>93.41</v>
      </c>
      <c r="AN17" t="str">
        <v>1.2</v>
      </c>
      <c r="AO17" t="str">
        <v>-16.1</v>
      </c>
      <c r="AP17" t="str">
        <v>1472.1</v>
      </c>
      <c r="AQ17" t="str">
        <v>5</v>
      </c>
      <c r="AR17" t="str">
        <v>3.895</v>
      </c>
      <c r="AS17" t="str">
        <v>22:26:57</v>
      </c>
      <c r="AT17" t="str">
        <v>2025-12-08</v>
      </c>
      <c r="AU17" t="str">
        <v>6.66</v>
      </c>
      <c r="AV17" t="str">
        <v>1</v>
      </c>
      <c r="AW17" t="str">
        <v>0.000</v>
      </c>
      <c r="AX17" t="str">
        <v>0.000</v>
      </c>
      <c r="AY17" t="str">
        <v>0.001</v>
      </c>
      <c r="AZ17" t="str">
        <v>-0.010</v>
      </c>
      <c r="BA17" t="str">
        <v>-0.067</v>
      </c>
      <c r="BB17" t="str">
        <v>-0.471</v>
      </c>
      <c r="BC17" t="str">
        <v>0</v>
      </c>
      <c r="BD17" t="str">
        <v>150</v>
      </c>
      <c r="BE17" t="str">
        <v>-9999.000</v>
      </c>
      <c r="BF17" t="str">
        <v>-9999.000000</v>
      </c>
      <c r="BG17" t="str">
        <v>0.058905</v>
      </c>
      <c r="BH17" t="str">
        <v>0.000000</v>
      </c>
      <c r="BI17" t="str">
        <v>0.029230</v>
      </c>
      <c r="BJ17" t="str">
        <v>0.000000</v>
      </c>
      <c r="BK17" t="str">
        <v>0.000000</v>
      </c>
      <c r="BL17" t="str">
        <v>-0.000068</v>
      </c>
      <c r="BM17" t="str">
        <v>standard</v>
      </c>
      <c r="BN17" t="str">
        <v>1</v>
      </c>
      <c r="BO17" t="str">
        <v>rectangular</v>
      </c>
      <c r="BP17" t="str">
        <v>8000</v>
      </c>
      <c r="BQ17" t="str">
        <v>5</v>
      </c>
      <c r="BR17" t="str">
        <v>-9999.000000</v>
      </c>
      <c r="BS17" t="str">
        <v>-9999.000000</v>
      </c>
      <c r="BT17" t="str">
        <v>55537</v>
      </c>
      <c r="BU17" t="str">
        <v>55537</v>
      </c>
      <c r="BV17" t="str">
        <v>55537</v>
      </c>
      <c r="BW17" t="str">
        <v>0.000000</v>
      </c>
      <c r="BX17" t="str">
        <v>-9999</v>
      </c>
      <c r="BY17" t="str">
        <v>0.000000</v>
      </c>
      <c r="BZ17" t="str">
        <v>0.000000</v>
      </c>
      <c r="CA17" t="str">
        <v>0.000000</v>
      </c>
      <c r="CB17" t="str">
        <v>0.000000</v>
      </c>
      <c r="CC17" t="str">
        <v>2.472647</v>
      </c>
      <c r="CD17" t="str">
        <v>2.436336</v>
      </c>
      <c r="CE17" t="str">
        <v>0.607100</v>
      </c>
      <c r="CF17" t="str">
        <v>0.572275</v>
      </c>
      <c r="CG17" t="str">
        <v>0.316076</v>
      </c>
      <c r="CH17" t="str">
        <v>-0.002215</v>
      </c>
      <c r="CI17" t="str">
        <v>0.102635</v>
      </c>
      <c r="CJ17" t="str">
        <v>0.111366</v>
      </c>
      <c r="CK17" t="str">
        <v>56.384323</v>
      </c>
      <c r="CL17" t="str">
        <v>0.000212</v>
      </c>
      <c r="CM17" t="str">
        <v>2.405086</v>
      </c>
      <c r="CN17" t="str">
        <v>0.000013</v>
      </c>
      <c r="CO17" t="str">
        <v>1.000000</v>
      </c>
      <c r="CP17" t="str">
        <v>2.372866</v>
      </c>
      <c r="CQ17" t="str">
        <v>0.000011</v>
      </c>
      <c r="CR17" t="str">
        <v>1.000000</v>
      </c>
      <c r="CS17" t="str">
        <v>0.601157</v>
      </c>
      <c r="CT17" t="str">
        <v>0.601293</v>
      </c>
      <c r="CU17" t="str">
        <v>0.106749</v>
      </c>
      <c r="CV17" t="str">
        <v>0.000000</v>
      </c>
      <c r="CW17" t="str">
        <v>PSF-01031_20251208223507_166</v>
      </c>
      <c r="CX17" t="str">
        <v>PFA-00872</v>
      </c>
      <c r="CY17" t="str">
        <v>PSA-00872</v>
      </c>
      <c r="CZ17" t="str">
        <v>PSF-01031</v>
      </c>
      <c r="DA17" t="str">
        <v>RHS-0785</v>
      </c>
      <c r="DB17" t="str">
        <v>3.0.0</v>
      </c>
      <c r="DC17" t="str">
        <v>2025-07-31T17:03:34.552Z</v>
      </c>
    </row>
    <row r="18">
      <c r="A18" t="str">
        <v>15</v>
      </c>
      <c r="B18" t="str">
        <v>22:35:26</v>
      </c>
      <c r="C18" t="str">
        <v>2025-12-08</v>
      </c>
      <c r="D18" t="str">
        <v>FB_Fl_Dark_8k</v>
      </c>
      <c r="E18" t="str">
        <v>Fern</v>
      </c>
      <c r="F18" t="str">
        <v/>
      </c>
      <c r="G18" t="str">
        <v/>
      </c>
      <c r="H18" t="str">
        <v/>
      </c>
      <c r="I18" t="str">
        <v/>
      </c>
      <c r="J18" t="str">
        <f>1/((1/L18)-(1/K18))</f>
        <v>0.001410</v>
      </c>
      <c r="K18" t="str">
        <f>BH18+(BI18*AN18)+(BJ18*AN18*POWER(V18,2))+(BK18*AN18*V18)+(BL18*POWER(AN18,2))</f>
        <v>0.034844</v>
      </c>
      <c r="L18" t="str">
        <f>((M18/1000)*(1000-((T18+S18)/2)))/(T18-S18)</f>
        <v>0.001355</v>
      </c>
      <c r="M18" t="str">
        <f>(AN18*(S18-R18))/(100*U18*(1000-S18))*1000</f>
        <v>0.017219</v>
      </c>
      <c r="N18" t="str">
        <v>1.072406</v>
      </c>
      <c r="O18" t="str">
        <v>1.013647</v>
      </c>
      <c r="P18" t="str">
        <f>0.61365*EXP((17.502*AL18)/(240.97+AL18))</f>
        <v>2.238234</v>
      </c>
      <c r="Q18" t="str">
        <f>P18-N18</f>
        <v>1.165828</v>
      </c>
      <c r="R18" t="str">
        <v>10.852347</v>
      </c>
      <c r="S18" t="str">
        <v>11.481430</v>
      </c>
      <c r="T18" t="str">
        <f>(P18/AM18)*1000</f>
        <v>23.963058</v>
      </c>
      <c r="U18" t="str">
        <f>V18*BG18</f>
        <v>0.441786</v>
      </c>
      <c r="V18" t="str">
        <v>7.500000</v>
      </c>
      <c r="W18" t="str">
        <v>PSF-01031_20251208223526_ed4</v>
      </c>
      <c r="X18" t="str">
        <v>86.839203</v>
      </c>
      <c r="Y18" t="str">
        <v>408.967499</v>
      </c>
      <c r="Z18" t="str">
        <v>0.787662</v>
      </c>
      <c r="AA18" t="str">
        <v>0.000000</v>
      </c>
      <c r="AB18" t="str">
        <v>0.000000</v>
      </c>
      <c r="AC18" t="str">
        <v>0.000000</v>
      </c>
      <c r="AD18" t="str">
        <v>0.5</v>
      </c>
      <c r="AE18" t="str">
        <v>0.80</v>
      </c>
      <c r="AF18" t="str">
        <f>AC18*AD18*AE18*AQ18</f>
        <v>1.577940</v>
      </c>
      <c r="AG18" t="str">
        <v>1.000000</v>
      </c>
      <c r="AH18" t="str">
        <v>41.98</v>
      </c>
      <c r="AI18" t="str">
        <v>39.68</v>
      </c>
      <c r="AJ18" t="str">
        <v>21.38</v>
      </c>
      <c r="AK18" t="str">
        <v>19.24</v>
      </c>
      <c r="AL18" t="str">
        <f>(AK18-AJ18)*(AJ18*0+0)+AK18</f>
        <v>19.24</v>
      </c>
      <c r="AM18" t="str">
        <v>93.40</v>
      </c>
      <c r="AN18" t="str">
        <v>1.2</v>
      </c>
      <c r="AO18" t="str">
        <v>-16.0</v>
      </c>
      <c r="AP18" t="str">
        <v>1437.5</v>
      </c>
      <c r="AQ18" t="str">
        <v>5</v>
      </c>
      <c r="AR18" t="str">
        <v>3.894</v>
      </c>
      <c r="AS18" t="str">
        <v>22:26:57</v>
      </c>
      <c r="AT18" t="str">
        <v>2025-12-08</v>
      </c>
      <c r="AU18" t="str">
        <v>6.66</v>
      </c>
      <c r="AV18" t="str">
        <v>1</v>
      </c>
      <c r="AW18" t="str">
        <v>-0.000</v>
      </c>
      <c r="AX18" t="str">
        <v>0.000</v>
      </c>
      <c r="AY18" t="str">
        <v>0.000</v>
      </c>
      <c r="AZ18" t="str">
        <v>-0.034</v>
      </c>
      <c r="BA18" t="str">
        <v>0.089</v>
      </c>
      <c r="BB18" t="str">
        <v>0.064</v>
      </c>
      <c r="BC18" t="str">
        <v>0</v>
      </c>
      <c r="BD18" t="str">
        <v>150</v>
      </c>
      <c r="BE18" t="str">
        <v>-9999.000</v>
      </c>
      <c r="BF18" t="str">
        <v>-9999.000000</v>
      </c>
      <c r="BG18" t="str">
        <v>0.058905</v>
      </c>
      <c r="BH18" t="str">
        <v>0.000000</v>
      </c>
      <c r="BI18" t="str">
        <v>0.029230</v>
      </c>
      <c r="BJ18" t="str">
        <v>0.000000</v>
      </c>
      <c r="BK18" t="str">
        <v>0.000000</v>
      </c>
      <c r="BL18" t="str">
        <v>-0.000068</v>
      </c>
      <c r="BM18" t="str">
        <v>standard</v>
      </c>
      <c r="BN18" t="str">
        <v>1</v>
      </c>
      <c r="BO18" t="str">
        <v>rectangular</v>
      </c>
      <c r="BP18" t="str">
        <v>8000</v>
      </c>
      <c r="BQ18" t="str">
        <v>5</v>
      </c>
      <c r="BR18" t="str">
        <v>-9999.000000</v>
      </c>
      <c r="BS18" t="str">
        <v>-9999.000000</v>
      </c>
      <c r="BT18" t="str">
        <v>55537</v>
      </c>
      <c r="BU18" t="str">
        <v>55537</v>
      </c>
      <c r="BV18" t="str">
        <v>55537</v>
      </c>
      <c r="BW18" t="str">
        <v>0.000000</v>
      </c>
      <c r="BX18" t="str">
        <v>-9999</v>
      </c>
      <c r="BY18" t="str">
        <v>0.000000</v>
      </c>
      <c r="BZ18" t="str">
        <v>0.000000</v>
      </c>
      <c r="CA18" t="str">
        <v>0.000000</v>
      </c>
      <c r="CB18" t="str">
        <v>0.000000</v>
      </c>
      <c r="CC18" t="str">
        <v>2.472674</v>
      </c>
      <c r="CD18" t="str">
        <v>2.432669</v>
      </c>
      <c r="CE18" t="str">
        <v>0.607214</v>
      </c>
      <c r="CF18" t="str">
        <v>0.572465</v>
      </c>
      <c r="CG18" t="str">
        <v>0.315248</v>
      </c>
      <c r="CH18" t="str">
        <v>-0.022868</v>
      </c>
      <c r="CI18" t="str">
        <v>0.104613</v>
      </c>
      <c r="CJ18" t="str">
        <v>0.111368</v>
      </c>
      <c r="CK18" t="str">
        <v>86.839203</v>
      </c>
      <c r="CL18" t="str">
        <v>0.000213</v>
      </c>
      <c r="CM18" t="str">
        <v>2.405086</v>
      </c>
      <c r="CN18" t="str">
        <v>0.000013</v>
      </c>
      <c r="CO18" t="str">
        <v>1.000000</v>
      </c>
      <c r="CP18" t="str">
        <v>2.372866</v>
      </c>
      <c r="CQ18" t="str">
        <v>0.000011</v>
      </c>
      <c r="CR18" t="str">
        <v>1.000000</v>
      </c>
      <c r="CS18" t="str">
        <v>0.601157</v>
      </c>
      <c r="CT18" t="str">
        <v>0.601293</v>
      </c>
      <c r="CU18" t="str">
        <v>0.106749</v>
      </c>
      <c r="CV18" t="str">
        <v>0.000000</v>
      </c>
      <c r="CW18" t="str">
        <v>PSF-01031_20251208223526_ed4</v>
      </c>
      <c r="CX18" t="str">
        <v>PFA-00872</v>
      </c>
      <c r="CY18" t="str">
        <v>PSA-00872</v>
      </c>
      <c r="CZ18" t="str">
        <v>PSF-01031</v>
      </c>
      <c r="DA18" t="str">
        <v>RHS-0785</v>
      </c>
      <c r="DB18" t="str">
        <v>3.0.0</v>
      </c>
      <c r="DC18" t="str">
        <v>2025-07-31T17:03:34.552Z</v>
      </c>
    </row>
    <row r="19">
      <c r="A19" t="str">
        <v>16</v>
      </c>
      <c r="B19" t="str">
        <v>22:35:52</v>
      </c>
      <c r="C19" t="str">
        <v>2025-12-08</v>
      </c>
      <c r="D19" t="str">
        <v>FB_Fl_Dark_8k</v>
      </c>
      <c r="E19" t="str">
        <v>Fern</v>
      </c>
      <c r="F19" t="str">
        <v/>
      </c>
      <c r="G19" t="str">
        <v/>
      </c>
      <c r="H19" t="str">
        <v/>
      </c>
      <c r="I19" t="str">
        <v/>
      </c>
      <c r="J19" t="str">
        <f>1/((1/L19)-(1/K19))</f>
        <v>-0.000188</v>
      </c>
      <c r="K19" t="str">
        <f>BH19+(BI19*AN19)+(BJ19*AN19*POWER(V19,2))+(BK19*AN19*V19)+(BL19*POWER(AN19,2))</f>
        <v>0.034199</v>
      </c>
      <c r="L19" t="str">
        <f>((M19/1000)*(1000-((T19+S19)/2)))/(T19-S19)</f>
        <v>-0.000189</v>
      </c>
      <c r="M19" t="str">
        <f>(AN19*(S19-R19))/(100*U19*(1000-S19))*1000</f>
        <v>-0.003020</v>
      </c>
      <c r="N19" t="str">
        <v>1.009259</v>
      </c>
      <c r="O19" t="str">
        <v>1.019765</v>
      </c>
      <c r="P19" t="str">
        <f>0.61365*EXP((17.502*AL19)/(240.97+AL19))</f>
        <v>2.474388</v>
      </c>
      <c r="Q19" t="str">
        <f>P19-N19</f>
        <v>1.465129</v>
      </c>
      <c r="R19" t="str">
        <v>10.918756</v>
      </c>
      <c r="S19" t="str">
        <v>10.806263</v>
      </c>
      <c r="T19" t="str">
        <f>(P19/AM19)*1000</f>
        <v>26.493582</v>
      </c>
      <c r="U19" t="str">
        <f>V19*BG19</f>
        <v>0.441786</v>
      </c>
      <c r="V19" t="str">
        <v>7.500000</v>
      </c>
      <c r="W19" t="str">
        <v>PSF-01031_20251208223552_fdc</v>
      </c>
      <c r="X19" t="str">
        <v>94.405891</v>
      </c>
      <c r="Y19" t="str">
        <v>336.770660</v>
      </c>
      <c r="Z19" t="str">
        <v>0.719673</v>
      </c>
      <c r="AA19" t="str">
        <v>0.000000</v>
      </c>
      <c r="AB19" t="str">
        <v>0.000000</v>
      </c>
      <c r="AC19" t="str">
        <v>0.000000</v>
      </c>
      <c r="AD19" t="str">
        <v>0.5</v>
      </c>
      <c r="AE19" t="str">
        <v>0.80</v>
      </c>
      <c r="AF19" t="str">
        <f>AC19*AD19*AE19*AQ19</f>
        <v>0.480033</v>
      </c>
      <c r="AG19" t="str">
        <v>1.000000</v>
      </c>
      <c r="AH19" t="str">
        <v>39.31</v>
      </c>
      <c r="AI19" t="str">
        <v>39.72</v>
      </c>
      <c r="AJ19" t="str">
        <v>21.46</v>
      </c>
      <c r="AK19" t="str">
        <v>20.86</v>
      </c>
      <c r="AL19" t="str">
        <f>(AK19-AJ19)*(AJ19*0+0)+AK19</f>
        <v>20.86</v>
      </c>
      <c r="AM19" t="str">
        <v>93.40</v>
      </c>
      <c r="AN19" t="str">
        <v>1.2</v>
      </c>
      <c r="AO19" t="str">
        <v>-16.0</v>
      </c>
      <c r="AP19" t="str">
        <v>1461.4</v>
      </c>
      <c r="AQ19" t="str">
        <v>2</v>
      </c>
      <c r="AR19" t="str">
        <v>3.892</v>
      </c>
      <c r="AS19" t="str">
        <v>22:26:57</v>
      </c>
      <c r="AT19" t="str">
        <v>2025-12-08</v>
      </c>
      <c r="AU19" t="str">
        <v>6.66</v>
      </c>
      <c r="AV19" t="str">
        <v>1</v>
      </c>
      <c r="AW19" t="str">
        <v>-0.000</v>
      </c>
      <c r="AX19" t="str">
        <v>0.000</v>
      </c>
      <c r="AY19" t="str">
        <v>0.000</v>
      </c>
      <c r="AZ19" t="str">
        <v>0.122</v>
      </c>
      <c r="BA19" t="str">
        <v>0.037</v>
      </c>
      <c r="BB19" t="str">
        <v>0.037</v>
      </c>
      <c r="BC19" t="str">
        <v>0</v>
      </c>
      <c r="BD19" t="str">
        <v>150</v>
      </c>
      <c r="BE19" t="str">
        <v>-9999.000</v>
      </c>
      <c r="BF19" t="str">
        <v>-9999.000000</v>
      </c>
      <c r="BG19" t="str">
        <v>0.058905</v>
      </c>
      <c r="BH19" t="str">
        <v>0.000000</v>
      </c>
      <c r="BI19" t="str">
        <v>0.029230</v>
      </c>
      <c r="BJ19" t="str">
        <v>0.000000</v>
      </c>
      <c r="BK19" t="str">
        <v>0.000000</v>
      </c>
      <c r="BL19" t="str">
        <v>-0.000068</v>
      </c>
      <c r="BM19" t="str">
        <v>standard</v>
      </c>
      <c r="BN19" t="str">
        <v>1</v>
      </c>
      <c r="BO19" t="str">
        <v>rectangular</v>
      </c>
      <c r="BP19" t="str">
        <v>8000</v>
      </c>
      <c r="BQ19" t="str">
        <v>5</v>
      </c>
      <c r="BR19" t="str">
        <v>-9999.000000</v>
      </c>
      <c r="BS19" t="str">
        <v>-9999.000000</v>
      </c>
      <c r="BT19" t="str">
        <v>55537</v>
      </c>
      <c r="BU19" t="str">
        <v>55537</v>
      </c>
      <c r="BV19" t="str">
        <v>55537</v>
      </c>
      <c r="BW19" t="str">
        <v>0.000000</v>
      </c>
      <c r="BX19" t="str">
        <v>-9999</v>
      </c>
      <c r="BY19" t="str">
        <v>0.000000</v>
      </c>
      <c r="BZ19" t="str">
        <v>0.000000</v>
      </c>
      <c r="CA19" t="str">
        <v>0.000000</v>
      </c>
      <c r="CB19" t="str">
        <v>0.000000</v>
      </c>
      <c r="CC19" t="str">
        <v>2.472724</v>
      </c>
      <c r="CD19" t="str">
        <v>2.428750</v>
      </c>
      <c r="CE19" t="str">
        <v>0.607101</v>
      </c>
      <c r="CF19" t="str">
        <v>0.572495</v>
      </c>
      <c r="CG19" t="str">
        <v>0.314229</v>
      </c>
      <c r="CH19" t="str">
        <v>-0.005766</v>
      </c>
      <c r="CI19" t="str">
        <v>0.107373</v>
      </c>
      <c r="CJ19" t="str">
        <v>0.108287</v>
      </c>
      <c r="CK19" t="str">
        <v>94.405891</v>
      </c>
      <c r="CL19" t="str">
        <v>0.000214</v>
      </c>
      <c r="CM19" t="str">
        <v>2.405086</v>
      </c>
      <c r="CN19" t="str">
        <v>0.000013</v>
      </c>
      <c r="CO19" t="str">
        <v>1.000000</v>
      </c>
      <c r="CP19" t="str">
        <v>2.372866</v>
      </c>
      <c r="CQ19" t="str">
        <v>0.000011</v>
      </c>
      <c r="CR19" t="str">
        <v>1.000000</v>
      </c>
      <c r="CS19" t="str">
        <v>0.601157</v>
      </c>
      <c r="CT19" t="str">
        <v>0.601293</v>
      </c>
      <c r="CU19" t="str">
        <v>0.106749</v>
      </c>
      <c r="CV19" t="str">
        <v>0.000000</v>
      </c>
      <c r="CW19" t="str">
        <v>PSF-01031_20251208223552_fdc</v>
      </c>
      <c r="CX19" t="str">
        <v>PFA-00872</v>
      </c>
      <c r="CY19" t="str">
        <v>PSA-00872</v>
      </c>
      <c r="CZ19" t="str">
        <v>PSF-01031</v>
      </c>
      <c r="DA19" t="str">
        <v>RHS-0785</v>
      </c>
      <c r="DB19" t="str">
        <v>3.0.0</v>
      </c>
      <c r="DC19" t="str">
        <v>2025-07-31T17:03:34.552Z</v>
      </c>
    </row>
    <row r="20">
      <c r="A20" t="str">
        <v>17</v>
      </c>
      <c r="B20" t="str">
        <v>22:36:14</v>
      </c>
      <c r="C20" t="str">
        <v>2025-12-08</v>
      </c>
      <c r="D20" t="str">
        <v>FB_Fl_Dark_8k</v>
      </c>
      <c r="E20" t="str">
        <v>Fern</v>
      </c>
      <c r="F20" t="str">
        <v/>
      </c>
      <c r="G20" t="str">
        <v/>
      </c>
      <c r="H20" t="str">
        <v/>
      </c>
      <c r="I20" t="str">
        <v/>
      </c>
      <c r="J20" t="str">
        <f>1/((1/L20)-(1/K20))</f>
        <v>-0.000046</v>
      </c>
      <c r="K20" t="str">
        <f>BH20+(BI20*AN20)+(BJ20*AN20*POWER(V20,2))+(BK20*AN20*V20)+(BL20*POWER(AN20,2))</f>
        <v>0.033499</v>
      </c>
      <c r="L20" t="str">
        <f>((M20/1000)*(1000-((T20+S20)/2)))/(T20-S20)</f>
        <v>-0.000046</v>
      </c>
      <c r="M20" t="str">
        <f>(AN20*(S20-R20))/(100*U20*(1000-S20))*1000</f>
        <v>-0.000613</v>
      </c>
      <c r="N20" t="str">
        <v>1.022517</v>
      </c>
      <c r="O20" t="str">
        <v>1.024695</v>
      </c>
      <c r="P20" t="str">
        <f>0.61365*EXP((17.502*AL20)/(240.97+AL20))</f>
        <v>2.240239</v>
      </c>
      <c r="Q20" t="str">
        <f>P20-N20</f>
        <v>1.217722</v>
      </c>
      <c r="R20" t="str">
        <v>10.971069</v>
      </c>
      <c r="S20" t="str">
        <v>10.947751</v>
      </c>
      <c r="T20" t="str">
        <f>(P20/AM20)*1000</f>
        <v>23.985493</v>
      </c>
      <c r="U20" t="str">
        <f>V20*BG20</f>
        <v>0.441786</v>
      </c>
      <c r="V20" t="str">
        <v>7.500000</v>
      </c>
      <c r="W20" t="str">
        <v>PSF-01031_20251208223614_f25</v>
      </c>
      <c r="X20" t="str">
        <v>98.197464</v>
      </c>
      <c r="Y20" t="str">
        <v>455.424774</v>
      </c>
      <c r="Z20" t="str">
        <v>0.784383</v>
      </c>
      <c r="AA20" t="str">
        <v>0.000000</v>
      </c>
      <c r="AB20" t="str">
        <v>0.000000</v>
      </c>
      <c r="AC20" t="str">
        <v>0.000000</v>
      </c>
      <c r="AD20" t="str">
        <v>0.5</v>
      </c>
      <c r="AE20" t="str">
        <v>0.80</v>
      </c>
      <c r="AF20" t="str">
        <f>AC20*AD20*AE20*AQ20</f>
        <v>0.579284</v>
      </c>
      <c r="AG20" t="str">
        <v>1.000000</v>
      </c>
      <c r="AH20" t="str">
        <v>39.67</v>
      </c>
      <c r="AI20" t="str">
        <v>39.75</v>
      </c>
      <c r="AJ20" t="str">
        <v>21.53</v>
      </c>
      <c r="AK20" t="str">
        <v>19.25</v>
      </c>
      <c r="AL20" t="str">
        <f>(AK20-AJ20)*(AJ20*0+0)+AK20</f>
        <v>19.25</v>
      </c>
      <c r="AM20" t="str">
        <v>93.40</v>
      </c>
      <c r="AN20" t="str">
        <v>1.1</v>
      </c>
      <c r="AO20" t="str">
        <v>-16.0</v>
      </c>
      <c r="AP20" t="str">
        <v>1493.1</v>
      </c>
      <c r="AQ20" t="str">
        <v>2</v>
      </c>
      <c r="AR20" t="str">
        <v>3.857</v>
      </c>
      <c r="AS20" t="str">
        <v>22:26:57</v>
      </c>
      <c r="AT20" t="str">
        <v>2025-12-08</v>
      </c>
      <c r="AU20" t="str">
        <v>6.66</v>
      </c>
      <c r="AV20" t="str">
        <v>1</v>
      </c>
      <c r="AW20" t="str">
        <v>0.000</v>
      </c>
      <c r="AX20" t="str">
        <v>0.000</v>
      </c>
      <c r="AY20" t="str">
        <v>0.000</v>
      </c>
      <c r="AZ20" t="str">
        <v>0.093</v>
      </c>
      <c r="BA20" t="str">
        <v>-0.343</v>
      </c>
      <c r="BB20" t="str">
        <v>-1.115</v>
      </c>
      <c r="BC20" t="str">
        <v>0</v>
      </c>
      <c r="BD20" t="str">
        <v>150</v>
      </c>
      <c r="BE20" t="str">
        <v>-9999.000</v>
      </c>
      <c r="BF20" t="str">
        <v>-9999.000000</v>
      </c>
      <c r="BG20" t="str">
        <v>0.058905</v>
      </c>
      <c r="BH20" t="str">
        <v>0.000000</v>
      </c>
      <c r="BI20" t="str">
        <v>0.029230</v>
      </c>
      <c r="BJ20" t="str">
        <v>0.000000</v>
      </c>
      <c r="BK20" t="str">
        <v>0.000000</v>
      </c>
      <c r="BL20" t="str">
        <v>-0.000068</v>
      </c>
      <c r="BM20" t="str">
        <v>standard</v>
      </c>
      <c r="BN20" t="str">
        <v>1</v>
      </c>
      <c r="BO20" t="str">
        <v>rectangular</v>
      </c>
      <c r="BP20" t="str">
        <v>8000</v>
      </c>
      <c r="BQ20" t="str">
        <v>5</v>
      </c>
      <c r="BR20" t="str">
        <v>-9999.000000</v>
      </c>
      <c r="BS20" t="str">
        <v>-9999.000000</v>
      </c>
      <c r="BT20" t="str">
        <v>55537</v>
      </c>
      <c r="BU20" t="str">
        <v>55537</v>
      </c>
      <c r="BV20" t="str">
        <v>55537</v>
      </c>
      <c r="BW20" t="str">
        <v>0.000000</v>
      </c>
      <c r="BX20" t="str">
        <v>-9999</v>
      </c>
      <c r="BY20" t="str">
        <v>0.000000</v>
      </c>
      <c r="BZ20" t="str">
        <v>0.000000</v>
      </c>
      <c r="CA20" t="str">
        <v>0.000000</v>
      </c>
      <c r="CB20" t="str">
        <v>0.000000</v>
      </c>
      <c r="CC20" t="str">
        <v>2.472758</v>
      </c>
      <c r="CD20" t="str">
        <v>2.429264</v>
      </c>
      <c r="CE20" t="str">
        <v>0.606979</v>
      </c>
      <c r="CF20" t="str">
        <v>0.572430</v>
      </c>
      <c r="CG20" t="str">
        <v>0.313395</v>
      </c>
      <c r="CH20" t="str">
        <v>-0.024369</v>
      </c>
      <c r="CI20" t="str">
        <v>0.109581</v>
      </c>
      <c r="CJ20" t="str">
        <v>0.108452</v>
      </c>
      <c r="CK20" t="str">
        <v>98.197464</v>
      </c>
      <c r="CL20" t="str">
        <v>0.000214</v>
      </c>
      <c r="CM20" t="str">
        <v>2.405086</v>
      </c>
      <c r="CN20" t="str">
        <v>0.000013</v>
      </c>
      <c r="CO20" t="str">
        <v>1.000000</v>
      </c>
      <c r="CP20" t="str">
        <v>2.372866</v>
      </c>
      <c r="CQ20" t="str">
        <v>0.000011</v>
      </c>
      <c r="CR20" t="str">
        <v>1.000000</v>
      </c>
      <c r="CS20" t="str">
        <v>0.601157</v>
      </c>
      <c r="CT20" t="str">
        <v>0.601293</v>
      </c>
      <c r="CU20" t="str">
        <v>0.106749</v>
      </c>
      <c r="CV20" t="str">
        <v>0.000000</v>
      </c>
      <c r="CW20" t="str">
        <v>PSF-01031_20251208223614_f25</v>
      </c>
      <c r="CX20" t="str">
        <v>PFA-00872</v>
      </c>
      <c r="CY20" t="str">
        <v>PSA-00872</v>
      </c>
      <c r="CZ20" t="str">
        <v>PSF-01031</v>
      </c>
      <c r="DA20" t="str">
        <v>RHS-0785</v>
      </c>
      <c r="DB20" t="str">
        <v>3.0.0</v>
      </c>
      <c r="DC20" t="str">
        <v>2025-07-31T17:03:34.552Z</v>
      </c>
    </row>
    <row r="21">
      <c r="A21" t="str">
        <v>18</v>
      </c>
      <c r="B21" t="str">
        <v>22:36:32</v>
      </c>
      <c r="C21" t="str">
        <v>2025-12-08</v>
      </c>
      <c r="D21" t="str">
        <v>FB_Fl_Dark_8k</v>
      </c>
      <c r="E21" t="str">
        <v>Fern</v>
      </c>
      <c r="F21" t="str">
        <v/>
      </c>
      <c r="G21" t="str">
        <v/>
      </c>
      <c r="H21" t="str">
        <v/>
      </c>
      <c r="I21" t="str">
        <v/>
      </c>
      <c r="J21" t="str">
        <f>1/((1/L21)-(1/K21))</f>
        <v>0.003689</v>
      </c>
      <c r="K21" t="str">
        <f>BH21+(BI21*AN21)+(BJ21*AN21*POWER(V21,2))+(BK21*AN21*V21)+(BL21*POWER(AN21,2))</f>
        <v>0.035552</v>
      </c>
      <c r="L21" t="str">
        <f>((M21/1000)*(1000-((T21+S21)/2)))/(T21-S21)</f>
        <v>0.003342</v>
      </c>
      <c r="M21" t="str">
        <f>(AN21*(S21-R21))/(100*U21*(1000-S21))*1000</f>
        <v>0.045782</v>
      </c>
      <c r="N21" t="str">
        <v>1.181754</v>
      </c>
      <c r="O21" t="str">
        <v>1.028835</v>
      </c>
      <c r="P21" t="str">
        <f>0.61365*EXP((17.502*AL21)/(240.97+AL21))</f>
        <v>2.436421</v>
      </c>
      <c r="Q21" t="str">
        <f>P21-N21</f>
        <v>1.254667</v>
      </c>
      <c r="R21" t="str">
        <v>11.015271</v>
      </c>
      <c r="S21" t="str">
        <v>12.652511</v>
      </c>
      <c r="T21" t="str">
        <f>(P21/AM21)*1000</f>
        <v>26.085667</v>
      </c>
      <c r="U21" t="str">
        <f>V21*BG21</f>
        <v>0.441786</v>
      </c>
      <c r="V21" t="str">
        <v>7.500000</v>
      </c>
      <c r="W21" t="str">
        <v>PSF-01031_20251208223632_661</v>
      </c>
      <c r="X21" t="str">
        <v>109.683395</v>
      </c>
      <c r="Y21" t="str">
        <v>178.133728</v>
      </c>
      <c r="Z21" t="str">
        <v>0.384264</v>
      </c>
      <c r="AA21" t="str">
        <v>0.000000</v>
      </c>
      <c r="AB21" t="str">
        <v>0.000000</v>
      </c>
      <c r="AC21" t="str">
        <v>0.000000</v>
      </c>
      <c r="AD21" t="str">
        <v>0.5</v>
      </c>
      <c r="AE21" t="str">
        <v>0.80</v>
      </c>
      <c r="AF21" t="str">
        <f>AC21*AD21*AE21*AQ21</f>
        <v>0.709901</v>
      </c>
      <c r="AG21" t="str">
        <v>1.000000</v>
      </c>
      <c r="AH21" t="str">
        <v>45.68</v>
      </c>
      <c r="AI21" t="str">
        <v>39.77</v>
      </c>
      <c r="AJ21" t="str">
        <v>21.58</v>
      </c>
      <c r="AK21" t="str">
        <v>20.61</v>
      </c>
      <c r="AL21" t="str">
        <f>(AK21-AJ21)*(AJ21*0+0)+AK21</f>
        <v>20.61</v>
      </c>
      <c r="AM21" t="str">
        <v>93.40</v>
      </c>
      <c r="AN21" t="str">
        <v>1.2</v>
      </c>
      <c r="AO21" t="str">
        <v>-16.4</v>
      </c>
      <c r="AP21" t="str">
        <v>1446.3</v>
      </c>
      <c r="AQ21" t="str">
        <v>5</v>
      </c>
      <c r="AR21" t="str">
        <v>3.891</v>
      </c>
      <c r="AS21" t="str">
        <v>22:26:57</v>
      </c>
      <c r="AT21" t="str">
        <v>2025-12-08</v>
      </c>
      <c r="AU21" t="str">
        <v>6.66</v>
      </c>
      <c r="AV21" t="str">
        <v>1</v>
      </c>
      <c r="AW21" t="str">
        <v>0.001</v>
      </c>
      <c r="AX21" t="str">
        <v>0.001</v>
      </c>
      <c r="AY21" t="str">
        <v>0.002</v>
      </c>
      <c r="AZ21" t="str">
        <v>0.195</v>
      </c>
      <c r="BA21" t="str">
        <v>0.047</v>
      </c>
      <c r="BB21" t="str">
        <v>-0.053</v>
      </c>
      <c r="BC21" t="str">
        <v>0</v>
      </c>
      <c r="BD21" t="str">
        <v>150</v>
      </c>
      <c r="BE21" t="str">
        <v>-9999.000</v>
      </c>
      <c r="BF21" t="str">
        <v>-9999.000000</v>
      </c>
      <c r="BG21" t="str">
        <v>0.058905</v>
      </c>
      <c r="BH21" t="str">
        <v>0.000000</v>
      </c>
      <c r="BI21" t="str">
        <v>0.029230</v>
      </c>
      <c r="BJ21" t="str">
        <v>0.000000</v>
      </c>
      <c r="BK21" t="str">
        <v>0.000000</v>
      </c>
      <c r="BL21" t="str">
        <v>-0.000068</v>
      </c>
      <c r="BM21" t="str">
        <v>standard</v>
      </c>
      <c r="BN21" t="str">
        <v>1</v>
      </c>
      <c r="BO21" t="str">
        <v>rectangular</v>
      </c>
      <c r="BP21" t="str">
        <v>8000</v>
      </c>
      <c r="BQ21" t="str">
        <v>5</v>
      </c>
      <c r="BR21" t="str">
        <v>-9999.000000</v>
      </c>
      <c r="BS21" t="str">
        <v>-9999.000000</v>
      </c>
      <c r="BT21" t="str">
        <v>55537</v>
      </c>
      <c r="BU21" t="str">
        <v>55537</v>
      </c>
      <c r="BV21" t="str">
        <v>55537</v>
      </c>
      <c r="BW21" t="str">
        <v>0.000000</v>
      </c>
      <c r="BX21" t="str">
        <v>-9999</v>
      </c>
      <c r="BY21" t="str">
        <v>0.000000</v>
      </c>
      <c r="BZ21" t="str">
        <v>0.000000</v>
      </c>
      <c r="CA21" t="str">
        <v>0.000000</v>
      </c>
      <c r="CB21" t="str">
        <v>0.000000</v>
      </c>
      <c r="CC21" t="str">
        <v>2.472774</v>
      </c>
      <c r="CD21" t="str">
        <v>2.437975</v>
      </c>
      <c r="CE21" t="str">
        <v>0.607338</v>
      </c>
      <c r="CF21" t="str">
        <v>0.571694</v>
      </c>
      <c r="CG21" t="str">
        <v>0.312657</v>
      </c>
      <c r="CH21" t="str">
        <v>-0.009995</v>
      </c>
      <c r="CI21" t="str">
        <v>0.111463</v>
      </c>
      <c r="CJ21" t="str">
        <v>0.111008</v>
      </c>
      <c r="CK21" t="str">
        <v>109.683395</v>
      </c>
      <c r="CL21" t="str">
        <v>0.000212</v>
      </c>
      <c r="CM21" t="str">
        <v>2.405086</v>
      </c>
      <c r="CN21" t="str">
        <v>0.000013</v>
      </c>
      <c r="CO21" t="str">
        <v>1.000000</v>
      </c>
      <c r="CP21" t="str">
        <v>2.372866</v>
      </c>
      <c r="CQ21" t="str">
        <v>0.000011</v>
      </c>
      <c r="CR21" t="str">
        <v>1.000000</v>
      </c>
      <c r="CS21" t="str">
        <v>0.601157</v>
      </c>
      <c r="CT21" t="str">
        <v>0.601293</v>
      </c>
      <c r="CU21" t="str">
        <v>0.106749</v>
      </c>
      <c r="CV21" t="str">
        <v>0.000000</v>
      </c>
      <c r="CW21" t="str">
        <v>PSF-01031_20251208223632_661</v>
      </c>
      <c r="CX21" t="str">
        <v>PFA-00872</v>
      </c>
      <c r="CY21" t="str">
        <v>PSA-00872</v>
      </c>
      <c r="CZ21" t="str">
        <v>PSF-01031</v>
      </c>
      <c r="DA21" t="str">
        <v>RHS-0785</v>
      </c>
      <c r="DB21" t="str">
        <v>3.0.0</v>
      </c>
      <c r="DC21" t="str">
        <v>2025-07-31T17:03:34.552Z</v>
      </c>
    </row>
    <row r="22">
      <c r="A22" t="str">
        <v>19</v>
      </c>
      <c r="B22" t="str">
        <v>22:36:55</v>
      </c>
      <c r="C22" t="str">
        <v>2025-12-08</v>
      </c>
      <c r="D22" t="str">
        <v>FB_Fl_Dark_8k</v>
      </c>
      <c r="E22" t="str">
        <v>Fern</v>
      </c>
      <c r="F22" t="str">
        <v/>
      </c>
      <c r="G22" t="str">
        <v/>
      </c>
      <c r="H22" t="str">
        <v/>
      </c>
      <c r="I22" t="str">
        <v/>
      </c>
      <c r="J22" t="str">
        <f>1/((1/L22)-(1/K22))</f>
        <v>0.001538</v>
      </c>
      <c r="K22" t="str">
        <f>BH22+(BI22*AN22)+(BJ22*AN22*POWER(V22,2))+(BK22*AN22*V22)+(BL22*POWER(AN22,2))</f>
        <v>0.033012</v>
      </c>
      <c r="L22" t="str">
        <f>((M22/1000)*(1000-((T22+S22)/2)))/(T22-S22)</f>
        <v>0.001470</v>
      </c>
      <c r="M22" t="str">
        <f>(AN22*(S22-R22))/(100*U22*(1000-S22))*1000</f>
        <v>0.021130</v>
      </c>
      <c r="N22" t="str">
        <v>1.110779</v>
      </c>
      <c r="O22" t="str">
        <v>1.034689</v>
      </c>
      <c r="P22" t="str">
        <f>0.61365*EXP((17.502*AL22)/(240.97+AL22))</f>
        <v>2.428149</v>
      </c>
      <c r="Q22" t="str">
        <f>P22-N22</f>
        <v>1.317370</v>
      </c>
      <c r="R22" t="str">
        <v>11.077243</v>
      </c>
      <c r="S22" t="str">
        <v>11.891849</v>
      </c>
      <c r="T22" t="str">
        <f>(P22/AM22)*1000</f>
        <v>25.995428</v>
      </c>
      <c r="U22" t="str">
        <f>V22*BG22</f>
        <v>0.441786</v>
      </c>
      <c r="V22" t="str">
        <v>7.500000</v>
      </c>
      <c r="W22" t="str">
        <v>PSF-01031_20251208223655_2dd</v>
      </c>
      <c r="X22" t="str">
        <v>76.644302</v>
      </c>
      <c r="Y22" t="str">
        <v>380.675903</v>
      </c>
      <c r="Z22" t="str">
        <v>0.798663</v>
      </c>
      <c r="AA22" t="str">
        <v>0.000000</v>
      </c>
      <c r="AB22" t="str">
        <v>0.000000</v>
      </c>
      <c r="AC22" t="str">
        <v>0.000000</v>
      </c>
      <c r="AD22" t="str">
        <v>0.5</v>
      </c>
      <c r="AE22" t="str">
        <v>0.80</v>
      </c>
      <c r="AF22" t="str">
        <f>AC22*AD22*AE22*AQ22</f>
        <v>1.789519</v>
      </c>
      <c r="AG22" t="str">
        <v>1.000000</v>
      </c>
      <c r="AH22" t="str">
        <v>42.71</v>
      </c>
      <c r="AI22" t="str">
        <v>39.79</v>
      </c>
      <c r="AJ22" t="str">
        <v>21.67</v>
      </c>
      <c r="AK22" t="str">
        <v>20.55</v>
      </c>
      <c r="AL22" t="str">
        <f>(AK22-AJ22)*(AJ22*0+0)+AK22</f>
        <v>20.55</v>
      </c>
      <c r="AM22" t="str">
        <v>93.41</v>
      </c>
      <c r="AN22" t="str">
        <v>1.1</v>
      </c>
      <c r="AO22" t="str">
        <v>-15.6</v>
      </c>
      <c r="AP22" t="str">
        <v>1476.2</v>
      </c>
      <c r="AQ22" t="str">
        <v>6</v>
      </c>
      <c r="AR22" t="str">
        <v>3.890</v>
      </c>
      <c r="AS22" t="str">
        <v>22:26:57</v>
      </c>
      <c r="AT22" t="str">
        <v>2025-12-08</v>
      </c>
      <c r="AU22" t="str">
        <v>6.66</v>
      </c>
      <c r="AV22" t="str">
        <v>1</v>
      </c>
      <c r="AW22" t="str">
        <v>-0.000</v>
      </c>
      <c r="AX22" t="str">
        <v>-0.000</v>
      </c>
      <c r="AY22" t="str">
        <v>0.000</v>
      </c>
      <c r="AZ22" t="str">
        <v>-0.153</v>
      </c>
      <c r="BA22" t="str">
        <v>0.067</v>
      </c>
      <c r="BB22" t="str">
        <v>0.454</v>
      </c>
      <c r="BC22" t="str">
        <v>0</v>
      </c>
      <c r="BD22" t="str">
        <v>150</v>
      </c>
      <c r="BE22" t="str">
        <v>-9999.000</v>
      </c>
      <c r="BF22" t="str">
        <v>-9999.000000</v>
      </c>
      <c r="BG22" t="str">
        <v>0.058905</v>
      </c>
      <c r="BH22" t="str">
        <v>0.000000</v>
      </c>
      <c r="BI22" t="str">
        <v>0.029230</v>
      </c>
      <c r="BJ22" t="str">
        <v>0.000000</v>
      </c>
      <c r="BK22" t="str">
        <v>0.000000</v>
      </c>
      <c r="BL22" t="str">
        <v>-0.000068</v>
      </c>
      <c r="BM22" t="str">
        <v>standard</v>
      </c>
      <c r="BN22" t="str">
        <v>1</v>
      </c>
      <c r="BO22" t="str">
        <v>rectangular</v>
      </c>
      <c r="BP22" t="str">
        <v>8000</v>
      </c>
      <c r="BQ22" t="str">
        <v>5</v>
      </c>
      <c r="BR22" t="str">
        <v>-9999.000000</v>
      </c>
      <c r="BS22" t="str">
        <v>-9999.000000</v>
      </c>
      <c r="BT22" t="str">
        <v>55537</v>
      </c>
      <c r="BU22" t="str">
        <v>55537</v>
      </c>
      <c r="BV22" t="str">
        <v>55537</v>
      </c>
      <c r="BW22" t="str">
        <v>0.000000</v>
      </c>
      <c r="BX22" t="str">
        <v>-9999</v>
      </c>
      <c r="BY22" t="str">
        <v>0.000000</v>
      </c>
      <c r="BZ22" t="str">
        <v>0.000000</v>
      </c>
      <c r="CA22" t="str">
        <v>0.000000</v>
      </c>
      <c r="CB22" t="str">
        <v>0.000000</v>
      </c>
      <c r="CC22" t="str">
        <v>2.472785</v>
      </c>
      <c r="CD22" t="str">
        <v>2.433689</v>
      </c>
      <c r="CE22" t="str">
        <v>0.606894</v>
      </c>
      <c r="CF22" t="str">
        <v>0.573187</v>
      </c>
      <c r="CG22" t="str">
        <v>0.311579</v>
      </c>
      <c r="CH22" t="str">
        <v>-0.011588</v>
      </c>
      <c r="CI22" t="str">
        <v>0.113852</v>
      </c>
      <c r="CJ22" t="str">
        <v>0.111915</v>
      </c>
      <c r="CK22" t="str">
        <v>76.644302</v>
      </c>
      <c r="CL22" t="str">
        <v>0.000213</v>
      </c>
      <c r="CM22" t="str">
        <v>2.405086</v>
      </c>
      <c r="CN22" t="str">
        <v>0.000013</v>
      </c>
      <c r="CO22" t="str">
        <v>1.000000</v>
      </c>
      <c r="CP22" t="str">
        <v>2.372866</v>
      </c>
      <c r="CQ22" t="str">
        <v>0.000011</v>
      </c>
      <c r="CR22" t="str">
        <v>1.000000</v>
      </c>
      <c r="CS22" t="str">
        <v>0.601157</v>
      </c>
      <c r="CT22" t="str">
        <v>0.601293</v>
      </c>
      <c r="CU22" t="str">
        <v>0.106749</v>
      </c>
      <c r="CV22" t="str">
        <v>0.000000</v>
      </c>
      <c r="CW22" t="str">
        <v>PSF-01031_20251208223655_2dd</v>
      </c>
      <c r="CX22" t="str">
        <v>PFA-00872</v>
      </c>
      <c r="CY22" t="str">
        <v>PSA-00872</v>
      </c>
      <c r="CZ22" t="str">
        <v>PSF-01031</v>
      </c>
      <c r="DA22" t="str">
        <v>RHS-0785</v>
      </c>
      <c r="DB22" t="str">
        <v>3.0.0</v>
      </c>
      <c r="DC22" t="str">
        <v>2025-07-31T17:03:34.552Z</v>
      </c>
    </row>
    <row r="23">
      <c r="A23" t="str">
        <v>20</v>
      </c>
      <c r="B23" t="str">
        <v>22:37:25</v>
      </c>
      <c r="C23" t="str">
        <v>2025-12-08</v>
      </c>
      <c r="D23" t="str">
        <v>FB_Fl_Dark_8k</v>
      </c>
      <c r="E23" t="str">
        <v>Fern</v>
      </c>
      <c r="F23" t="str">
        <v/>
      </c>
      <c r="G23" t="str">
        <v/>
      </c>
      <c r="H23" t="str">
        <v/>
      </c>
      <c r="I23" t="str">
        <v/>
      </c>
      <c r="J23" t="str">
        <f>1/((1/L23)-(1/K23))</f>
        <v>0.002825</v>
      </c>
      <c r="K23" t="str">
        <f>BH23+(BI23*AN23)+(BJ23*AN23*POWER(V23,2))+(BK23*AN23*V23)+(BL23*POWER(AN23,2))</f>
        <v>0.032680</v>
      </c>
      <c r="L23" t="str">
        <f>((M23/1000)*(1000-((T23+S23)/2)))/(T23-S23)</f>
        <v>0.002600</v>
      </c>
      <c r="M23" t="str">
        <f>(AN23*(S23-R23))/(100*U23*(1000-S23))*1000</f>
        <v>0.037635</v>
      </c>
      <c r="N23" t="str">
        <v>1.180079</v>
      </c>
      <c r="O23" t="str">
        <v>1.043281</v>
      </c>
      <c r="P23" t="str">
        <f>0.61365*EXP((17.502*AL23)/(240.97+AL23))</f>
        <v>2.505347</v>
      </c>
      <c r="Q23" t="str">
        <f>P23-N23</f>
        <v>1.325268</v>
      </c>
      <c r="R23" t="str">
        <v>11.169436</v>
      </c>
      <c r="S23" t="str">
        <v>12.634007</v>
      </c>
      <c r="T23" t="str">
        <f>(P23/AM23)*1000</f>
        <v>26.822409</v>
      </c>
      <c r="U23" t="str">
        <f>V23*BG23</f>
        <v>0.441786</v>
      </c>
      <c r="V23" t="str">
        <v>7.500000</v>
      </c>
      <c r="W23" t="str">
        <v>PSF-01031_20251208223725_446</v>
      </c>
      <c r="X23" t="str">
        <v>108.471390</v>
      </c>
      <c r="Y23" t="str">
        <v>171.692841</v>
      </c>
      <c r="Z23" t="str">
        <v>0.368224</v>
      </c>
      <c r="AA23" t="str">
        <v>0.000000</v>
      </c>
      <c r="AB23" t="str">
        <v>0.000000</v>
      </c>
      <c r="AC23" t="str">
        <v>0.000000</v>
      </c>
      <c r="AD23" t="str">
        <v>0.5</v>
      </c>
      <c r="AE23" t="str">
        <v>0.80</v>
      </c>
      <c r="AF23" t="str">
        <f>AC23*AD23*AE23*AQ23</f>
        <v>0.817006</v>
      </c>
      <c r="AG23" t="str">
        <v>1.000000</v>
      </c>
      <c r="AH23" t="str">
        <v>45.02</v>
      </c>
      <c r="AI23" t="str">
        <v>39.80</v>
      </c>
      <c r="AJ23" t="str">
        <v>21.80</v>
      </c>
      <c r="AK23" t="str">
        <v>21.06</v>
      </c>
      <c r="AL23" t="str">
        <f>(AK23-AJ23)*(AJ23*0+0)+AK23</f>
        <v>21.06</v>
      </c>
      <c r="AM23" t="str">
        <v>93.40</v>
      </c>
      <c r="AN23" t="str">
        <v>1.1</v>
      </c>
      <c r="AO23" t="str">
        <v>-16.1</v>
      </c>
      <c r="AP23" t="str">
        <v>1532.7</v>
      </c>
      <c r="AQ23" t="str">
        <v>6</v>
      </c>
      <c r="AR23" t="str">
        <v>3.887</v>
      </c>
      <c r="AS23" t="str">
        <v>22:37:17</v>
      </c>
      <c r="AT23" t="str">
        <v>2025-12-08</v>
      </c>
      <c r="AU23" t="str">
        <v>6.93</v>
      </c>
      <c r="AV23" t="str">
        <v>1</v>
      </c>
      <c r="AW23" t="str">
        <v>0.000</v>
      </c>
      <c r="AX23" t="str">
        <v>0.001</v>
      </c>
      <c r="AY23" t="str">
        <v>0.001</v>
      </c>
      <c r="AZ23" t="str">
        <v>-0.125</v>
      </c>
      <c r="BA23" t="str">
        <v>0.546</v>
      </c>
      <c r="BB23" t="str">
        <v>0.303</v>
      </c>
      <c r="BC23" t="str">
        <v>0</v>
      </c>
      <c r="BD23" t="str">
        <v>150</v>
      </c>
      <c r="BE23" t="str">
        <v>-9999.000</v>
      </c>
      <c r="BF23" t="str">
        <v>-9999.000000</v>
      </c>
      <c r="BG23" t="str">
        <v>0.058905</v>
      </c>
      <c r="BH23" t="str">
        <v>0.000000</v>
      </c>
      <c r="BI23" t="str">
        <v>0.029230</v>
      </c>
      <c r="BJ23" t="str">
        <v>0.000000</v>
      </c>
      <c r="BK23" t="str">
        <v>0.000000</v>
      </c>
      <c r="BL23" t="str">
        <v>-0.000068</v>
      </c>
      <c r="BM23" t="str">
        <v>standard</v>
      </c>
      <c r="BN23" t="str">
        <v>1</v>
      </c>
      <c r="BO23" t="str">
        <v>rectangular</v>
      </c>
      <c r="BP23" t="str">
        <v>8000</v>
      </c>
      <c r="BQ23" t="str">
        <v>5</v>
      </c>
      <c r="BR23" t="str">
        <v>-9999.000000</v>
      </c>
      <c r="BS23" t="str">
        <v>-9999.000000</v>
      </c>
      <c r="BT23" t="str">
        <v>55537</v>
      </c>
      <c r="BU23" t="str">
        <v>55537</v>
      </c>
      <c r="BV23" t="str">
        <v>55537</v>
      </c>
      <c r="BW23" t="str">
        <v>0.000000</v>
      </c>
      <c r="BX23" t="str">
        <v>-9999</v>
      </c>
      <c r="BY23" t="str">
        <v>0.000000</v>
      </c>
      <c r="BZ23" t="str">
        <v>0.000000</v>
      </c>
      <c r="CA23" t="str">
        <v>0.000000</v>
      </c>
      <c r="CB23" t="str">
        <v>0.000000</v>
      </c>
      <c r="CC23" t="str">
        <v>2.472782</v>
      </c>
      <c r="CD23" t="str">
        <v>2.436608</v>
      </c>
      <c r="CE23" t="str">
        <v>0.606836</v>
      </c>
      <c r="CF23" t="str">
        <v>0.572339</v>
      </c>
      <c r="CG23" t="str">
        <v>0.309958</v>
      </c>
      <c r="CH23" t="str">
        <v>-0.007369</v>
      </c>
      <c r="CI23" t="str">
        <v>0.116966</v>
      </c>
      <c r="CJ23" t="str">
        <v>0.111865</v>
      </c>
      <c r="CK23" t="str">
        <v>108.471390</v>
      </c>
      <c r="CL23" t="str">
        <v>0.000215</v>
      </c>
      <c r="CM23" t="str">
        <v>2.405086</v>
      </c>
      <c r="CN23" t="str">
        <v>0.000013</v>
      </c>
      <c r="CO23" t="str">
        <v>1.000000</v>
      </c>
      <c r="CP23" t="str">
        <v>2.372866</v>
      </c>
      <c r="CQ23" t="str">
        <v>0.000011</v>
      </c>
      <c r="CR23" t="str">
        <v>1.000000</v>
      </c>
      <c r="CS23" t="str">
        <v>0.601157</v>
      </c>
      <c r="CT23" t="str">
        <v>0.601293</v>
      </c>
      <c r="CU23" t="str">
        <v>0.106749</v>
      </c>
      <c r="CV23" t="str">
        <v>0.000000</v>
      </c>
      <c r="CW23" t="str">
        <v>PSF-01031_20251208223725_446</v>
      </c>
      <c r="CX23" t="str">
        <v>PFA-00872</v>
      </c>
      <c r="CY23" t="str">
        <v>PSA-00872</v>
      </c>
      <c r="CZ23" t="str">
        <v>PSF-01031</v>
      </c>
      <c r="DA23" t="str">
        <v>RHS-0785</v>
      </c>
      <c r="DB23" t="str">
        <v>3.0.0</v>
      </c>
      <c r="DC23" t="str">
        <v>2025-07-31T17:03:34.552Z</v>
      </c>
    </row>
  </sheetData>
  <ignoredErrors>
    <ignoredError numberStoredAsText="1" sqref="A1:DC2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FB_Fl_Dark_8k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