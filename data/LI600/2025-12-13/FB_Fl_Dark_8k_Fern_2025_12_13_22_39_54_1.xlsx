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B_Fl_Dark_8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22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/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22:32:40</v>
      </c>
      <c r="C4" t="str">
        <v>2025-12-13</v>
      </c>
      <c r="D4" t="str">
        <v>FB_Fl_Dark_8k</v>
      </c>
      <c r="E4" t="str">
        <v>Fern</v>
      </c>
      <c r="F4" t="str">
        <v/>
      </c>
      <c r="G4" t="str">
        <v/>
      </c>
      <c r="H4" t="str">
        <v/>
      </c>
      <c r="I4" t="str">
        <v/>
      </c>
      <c r="J4" t="str">
        <f>1/((1/L4)-(1/K4))</f>
        <v>0.009692</v>
      </c>
      <c r="K4" t="str">
        <f>BH4+(BI4*AN4)+(BJ4*AN4*POWER(V4,2))+(BK4*AN4*V4)+(BL4*POWER(AN4,2))</f>
        <v>0.034177</v>
      </c>
      <c r="L4" t="str">
        <f>((M4/1000)*(1000-((T4+S4)/2)))/(T4-S4)</f>
        <v>0.007551</v>
      </c>
      <c r="M4" t="str">
        <f>(AN4*(S4-R4))/(100*U4*(1000-S4))*1000</f>
        <v>0.041257</v>
      </c>
      <c r="N4" t="str">
        <v>1.090631</v>
      </c>
      <c r="O4" t="str">
        <v>0.947500</v>
      </c>
      <c r="P4" t="str">
        <f>0.61365*EXP((17.502*AL4)/(240.97+AL4))</f>
        <v>1.592315</v>
      </c>
      <c r="Q4" t="str">
        <f>P4-N4</f>
        <v>0.501684</v>
      </c>
      <c r="R4" t="str">
        <v>10.171000</v>
      </c>
      <c r="S4" t="str">
        <v>11.707455</v>
      </c>
      <c r="T4" t="str">
        <f>(P4/AM4)*1000</f>
        <v>17.092815</v>
      </c>
      <c r="U4" t="str">
        <f>V4*BG4</f>
        <v>0.441786</v>
      </c>
      <c r="V4" t="str">
        <v>7.500000</v>
      </c>
      <c r="W4" t="str">
        <v>PSF-01031_20251213223240_275</v>
      </c>
      <c r="X4" t="str">
        <v>96.696854</v>
      </c>
      <c r="Y4" t="str">
        <v>514.173767</v>
      </c>
      <c r="Z4" t="str">
        <v>0.811937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1.674429</v>
      </c>
      <c r="AG4" t="str">
        <v>1.000000</v>
      </c>
      <c r="AH4" t="str">
        <v>44.50</v>
      </c>
      <c r="AI4" t="str">
        <v>38.66</v>
      </c>
      <c r="AJ4" t="str">
        <v>20.70</v>
      </c>
      <c r="AK4" t="str">
        <v>13.88</v>
      </c>
      <c r="AL4" t="str">
        <f>(AK4-AJ4)*(AJ4*0+0)+AK4</f>
        <v>13.88</v>
      </c>
      <c r="AM4" t="str">
        <v>93.16</v>
      </c>
      <c r="AN4" t="str">
        <v>1.2</v>
      </c>
      <c r="AO4" t="str">
        <v>-15.8</v>
      </c>
      <c r="AP4" t="str">
        <v>1449.8</v>
      </c>
      <c r="AQ4" t="str">
        <v>5</v>
      </c>
      <c r="AR4" t="str">
        <v>3.888</v>
      </c>
      <c r="AS4" t="str">
        <v>22:31:36</v>
      </c>
      <c r="AT4" t="str">
        <v>2025-12-13</v>
      </c>
      <c r="AU4" t="str">
        <v>5.38</v>
      </c>
      <c r="AV4" t="str">
        <v>1</v>
      </c>
      <c r="AW4" t="str">
        <v>0.001</v>
      </c>
      <c r="AX4" t="str">
        <v>0.002</v>
      </c>
      <c r="AY4" t="str">
        <v>0.004</v>
      </c>
      <c r="AZ4" t="str">
        <v>0.108</v>
      </c>
      <c r="BA4" t="str">
        <v>0.293</v>
      </c>
      <c r="BB4" t="str">
        <v>0.108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8000</v>
      </c>
      <c r="BQ4" t="str">
        <v>5</v>
      </c>
      <c r="BR4" t="str">
        <v>-9999.000000</v>
      </c>
      <c r="BS4" t="str">
        <v>-9999.000000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2.471275</v>
      </c>
      <c r="CD4" t="str">
        <v>2.438268</v>
      </c>
      <c r="CE4" t="str">
        <v>0.607097</v>
      </c>
      <c r="CF4" t="str">
        <v>0.572756</v>
      </c>
      <c r="CG4" t="str">
        <v>0.323902</v>
      </c>
      <c r="CH4" t="str">
        <v>-0.072739</v>
      </c>
      <c r="CI4" t="str">
        <v>0.053767</v>
      </c>
      <c r="CJ4" t="str">
        <v>0.111504</v>
      </c>
      <c r="CK4" t="str">
        <v>96.696854</v>
      </c>
      <c r="CL4" t="str">
        <v>0.000211</v>
      </c>
      <c r="CM4" t="str">
        <v>2.405086</v>
      </c>
      <c r="CN4" t="str">
        <v>0.000013</v>
      </c>
      <c r="CO4" t="str">
        <v>1.000000</v>
      </c>
      <c r="CP4" t="str">
        <v>2.372866</v>
      </c>
      <c r="CQ4" t="str">
        <v>0.000011</v>
      </c>
      <c r="CR4" t="str">
        <v>1.000000</v>
      </c>
      <c r="CS4" t="str">
        <v>0.601157</v>
      </c>
      <c r="CT4" t="str">
        <v>0.601293</v>
      </c>
      <c r="CU4" t="str">
        <v>0.106749</v>
      </c>
      <c r="CV4" t="str">
        <v>0.000000</v>
      </c>
      <c r="CW4" t="str">
        <v>PSF-01031_20251213223240_275</v>
      </c>
      <c r="CX4" t="str">
        <v>PFA-00872</v>
      </c>
      <c r="CY4" t="str">
        <v>PSA-00872</v>
      </c>
      <c r="CZ4" t="str">
        <v>PSF-01031</v>
      </c>
      <c r="DA4" t="str">
        <v>RHS-0785</v>
      </c>
      <c r="DB4" t="str">
        <v>3.0.0</v>
      </c>
      <c r="DC4" t="str">
        <v>2025-07-31T17:03:34.552Z</v>
      </c>
    </row>
    <row r="5">
      <c r="A5" t="str">
        <v>2</v>
      </c>
      <c r="B5" t="str">
        <v>22:33:00</v>
      </c>
      <c r="C5" t="str">
        <v>2025-12-13</v>
      </c>
      <c r="D5" t="str">
        <v>FB_Fl_Dark_8k</v>
      </c>
      <c r="E5" t="str">
        <v>Fern</v>
      </c>
      <c r="F5" t="str">
        <v/>
      </c>
      <c r="G5" t="str">
        <v/>
      </c>
      <c r="H5" t="str">
        <v/>
      </c>
      <c r="I5" t="str">
        <v/>
      </c>
      <c r="J5" t="str">
        <f>1/((1/L5)-(1/K5))</f>
        <v>0.004693</v>
      </c>
      <c r="K5" t="str">
        <f>BH5+(BI5*AN5)+(BJ5*AN5*POWER(V5,2))+(BK5*AN5*V5)+(BL5*POWER(AN5,2))</f>
        <v>0.034791</v>
      </c>
      <c r="L5" t="str">
        <f>((M5/1000)*(1000-((T5+S5)/2)))/(T5-S5)</f>
        <v>0.004135</v>
      </c>
      <c r="M5" t="str">
        <f>(AN5*(S5-R5))/(100*U5*(1000-S5))*1000</f>
        <v>0.045828</v>
      </c>
      <c r="N5" t="str">
        <v>1.104997</v>
      </c>
      <c r="O5" t="str">
        <v>0.948872</v>
      </c>
      <c r="P5" t="str">
        <f>0.61365*EXP((17.502*AL5)/(240.97+AL5))</f>
        <v>2.119323</v>
      </c>
      <c r="Q5" t="str">
        <f>P5-N5</f>
        <v>1.014326</v>
      </c>
      <c r="R5" t="str">
        <v>10.187312</v>
      </c>
      <c r="S5" t="str">
        <v>11.863506</v>
      </c>
      <c r="T5" t="str">
        <f>(P5/AM5)*1000</f>
        <v>22.753551</v>
      </c>
      <c r="U5" t="str">
        <f>V5*BG5</f>
        <v>0.441786</v>
      </c>
      <c r="V5" t="str">
        <v>7.500000</v>
      </c>
      <c r="W5" t="str">
        <v>PSF-01031_20251213223300_cda</v>
      </c>
      <c r="X5" t="str">
        <v>132.021545</v>
      </c>
      <c r="Y5" t="str">
        <v>317.836060</v>
      </c>
      <c r="Z5" t="str">
        <v>0.584624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1.291978</v>
      </c>
      <c r="AG5" t="str">
        <v>1.000000</v>
      </c>
      <c r="AH5" t="str">
        <v>45.05</v>
      </c>
      <c r="AI5" t="str">
        <v>38.68</v>
      </c>
      <c r="AJ5" t="str">
        <v>20.72</v>
      </c>
      <c r="AK5" t="str">
        <v>18.37</v>
      </c>
      <c r="AL5" t="str">
        <f>(AK5-AJ5)*(AJ5*0+0)+AK5</f>
        <v>18.37</v>
      </c>
      <c r="AM5" t="str">
        <v>93.14</v>
      </c>
      <c r="AN5" t="str">
        <v>1.2</v>
      </c>
      <c r="AO5" t="str">
        <v>-15.8</v>
      </c>
      <c r="AP5" t="str">
        <v>1427.9</v>
      </c>
      <c r="AQ5" t="str">
        <v>6</v>
      </c>
      <c r="AR5" t="str">
        <v>3.885</v>
      </c>
      <c r="AS5" t="str">
        <v>22:31:36</v>
      </c>
      <c r="AT5" t="str">
        <v>2025-12-13</v>
      </c>
      <c r="AU5" t="str">
        <v>5.38</v>
      </c>
      <c r="AV5" t="str">
        <v>1</v>
      </c>
      <c r="AW5" t="str">
        <v>0.000</v>
      </c>
      <c r="AX5" t="str">
        <v>0.000</v>
      </c>
      <c r="AY5" t="str">
        <v>0.000</v>
      </c>
      <c r="AZ5" t="str">
        <v>0.205</v>
      </c>
      <c r="BA5" t="str">
        <v>0.240</v>
      </c>
      <c r="BB5" t="str">
        <v>0.396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8000</v>
      </c>
      <c r="BQ5" t="str">
        <v>5</v>
      </c>
      <c r="BR5" t="str">
        <v>-9999.000000</v>
      </c>
      <c r="BS5" t="str">
        <v>-9999.000000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2.471308</v>
      </c>
      <c r="CD5" t="str">
        <v>2.439051</v>
      </c>
      <c r="CE5" t="str">
        <v>0.607205</v>
      </c>
      <c r="CF5" t="str">
        <v>0.572713</v>
      </c>
      <c r="CG5" t="str">
        <v>0.323727</v>
      </c>
      <c r="CH5" t="str">
        <v>-0.025016</v>
      </c>
      <c r="CI5" t="str">
        <v>0.056374</v>
      </c>
      <c r="CJ5" t="str">
        <v>0.111844</v>
      </c>
      <c r="CK5" t="str">
        <v>132.021545</v>
      </c>
      <c r="CL5" t="str">
        <v>0.000210</v>
      </c>
      <c r="CM5" t="str">
        <v>2.405086</v>
      </c>
      <c r="CN5" t="str">
        <v>0.000013</v>
      </c>
      <c r="CO5" t="str">
        <v>1.000000</v>
      </c>
      <c r="CP5" t="str">
        <v>2.372866</v>
      </c>
      <c r="CQ5" t="str">
        <v>0.000011</v>
      </c>
      <c r="CR5" t="str">
        <v>1.000000</v>
      </c>
      <c r="CS5" t="str">
        <v>0.601157</v>
      </c>
      <c r="CT5" t="str">
        <v>0.601293</v>
      </c>
      <c r="CU5" t="str">
        <v>0.106749</v>
      </c>
      <c r="CV5" t="str">
        <v>0.000000</v>
      </c>
      <c r="CW5" t="str">
        <v>PSF-01031_20251213223300_cda</v>
      </c>
      <c r="CX5" t="str">
        <v>PFA-00872</v>
      </c>
      <c r="CY5" t="str">
        <v>PSA-00872</v>
      </c>
      <c r="CZ5" t="str">
        <v>PSF-01031</v>
      </c>
      <c r="DA5" t="str">
        <v>RHS-0785</v>
      </c>
      <c r="DB5" t="str">
        <v>3.0.0</v>
      </c>
      <c r="DC5" t="str">
        <v>2025-07-31T17:03:34.552Z</v>
      </c>
    </row>
    <row r="6">
      <c r="A6" t="str">
        <v>3</v>
      </c>
      <c r="B6" t="str">
        <v>22:33:26</v>
      </c>
      <c r="C6" t="str">
        <v>2025-12-13</v>
      </c>
      <c r="D6" t="str">
        <v>FB_Fl_Dark_8k</v>
      </c>
      <c r="E6" t="str">
        <v>Fern</v>
      </c>
      <c r="F6" t="str">
        <v/>
      </c>
      <c r="G6" t="str">
        <v/>
      </c>
      <c r="H6" t="str">
        <v/>
      </c>
      <c r="I6" t="str">
        <v/>
      </c>
      <c r="J6" t="str">
        <f>1/((1/L6)-(1/K6))</f>
        <v>0.002049</v>
      </c>
      <c r="K6" t="str">
        <f>BH6+(BI6*AN6)+(BJ6*AN6*POWER(V6,2))+(BK6*AN6*V6)+(BL6*POWER(AN6,2))</f>
        <v>0.034269</v>
      </c>
      <c r="L6" t="str">
        <f>((M6/1000)*(1000-((T6+S6)/2)))/(T6-S6)</f>
        <v>0.001933</v>
      </c>
      <c r="M6" t="str">
        <f>(AN6*(S6-R6))/(100*U6*(1000-S6))*1000</f>
        <v>0.029097</v>
      </c>
      <c r="N6" t="str">
        <v>1.053033</v>
      </c>
      <c r="O6" t="str">
        <v>0.952317</v>
      </c>
      <c r="P6" t="str">
        <f>0.61365*EXP((17.502*AL6)/(240.97+AL6))</f>
        <v>2.428805</v>
      </c>
      <c r="Q6" t="str">
        <f>P6-N6</f>
        <v>1.375772</v>
      </c>
      <c r="R6" t="str">
        <v>10.222570</v>
      </c>
      <c r="S6" t="str">
        <v>11.303697</v>
      </c>
      <c r="T6" t="str">
        <f>(P6/AM6)*1000</f>
        <v>26.071815</v>
      </c>
      <c r="U6" t="str">
        <f>V6*BG6</f>
        <v>0.441786</v>
      </c>
      <c r="V6" t="str">
        <v>7.500000</v>
      </c>
      <c r="W6" t="str">
        <v>PSF-01031_20251213223326_aae</v>
      </c>
      <c r="X6" t="str">
        <v>87.230804</v>
      </c>
      <c r="Y6" t="str">
        <v>447.991119</v>
      </c>
      <c r="Z6" t="str">
        <v>0.805285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1.003928</v>
      </c>
      <c r="AG6" t="str">
        <v>1.000000</v>
      </c>
      <c r="AH6" t="str">
        <v>42.82</v>
      </c>
      <c r="AI6" t="str">
        <v>38.73</v>
      </c>
      <c r="AJ6" t="str">
        <v>20.76</v>
      </c>
      <c r="AK6" t="str">
        <v>20.56</v>
      </c>
      <c r="AL6" t="str">
        <f>(AK6-AJ6)*(AJ6*0+0)+AK6</f>
        <v>20.56</v>
      </c>
      <c r="AM6" t="str">
        <v>93.16</v>
      </c>
      <c r="AN6" t="str">
        <v>1.2</v>
      </c>
      <c r="AO6" t="str">
        <v>-15.9</v>
      </c>
      <c r="AP6" t="str">
        <v>1456.1</v>
      </c>
      <c r="AQ6" t="str">
        <v>3</v>
      </c>
      <c r="AR6" t="str">
        <v>3.881</v>
      </c>
      <c r="AS6" t="str">
        <v>22:31:36</v>
      </c>
      <c r="AT6" t="str">
        <v>2025-12-13</v>
      </c>
      <c r="AU6" t="str">
        <v>5.38</v>
      </c>
      <c r="AV6" t="str">
        <v>1</v>
      </c>
      <c r="AW6" t="str">
        <v>0.000</v>
      </c>
      <c r="AX6" t="str">
        <v>0.000</v>
      </c>
      <c r="AY6" t="str">
        <v>0.000</v>
      </c>
      <c r="AZ6" t="str">
        <v>-0.076</v>
      </c>
      <c r="BA6" t="str">
        <v>0.194</v>
      </c>
      <c r="BB6" t="str">
        <v>0.356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8000</v>
      </c>
      <c r="BQ6" t="str">
        <v>5</v>
      </c>
      <c r="BR6" t="str">
        <v>-9999.000000</v>
      </c>
      <c r="BS6" t="str">
        <v>-9999.000000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2.471365</v>
      </c>
      <c r="CD6" t="str">
        <v>2.435846</v>
      </c>
      <c r="CE6" t="str">
        <v>0.607113</v>
      </c>
      <c r="CF6" t="str">
        <v>0.572549</v>
      </c>
      <c r="CG6" t="str">
        <v>0.323195</v>
      </c>
      <c r="CH6" t="str">
        <v>-0.001224</v>
      </c>
      <c r="CI6" t="str">
        <v>0.059686</v>
      </c>
      <c r="CJ6" t="str">
        <v>0.109623</v>
      </c>
      <c r="CK6" t="str">
        <v>87.230804</v>
      </c>
      <c r="CL6" t="str">
        <v>0.000212</v>
      </c>
      <c r="CM6" t="str">
        <v>2.405086</v>
      </c>
      <c r="CN6" t="str">
        <v>0.000013</v>
      </c>
      <c r="CO6" t="str">
        <v>1.000000</v>
      </c>
      <c r="CP6" t="str">
        <v>2.372866</v>
      </c>
      <c r="CQ6" t="str">
        <v>0.000011</v>
      </c>
      <c r="CR6" t="str">
        <v>1.000000</v>
      </c>
      <c r="CS6" t="str">
        <v>0.601157</v>
      </c>
      <c r="CT6" t="str">
        <v>0.601293</v>
      </c>
      <c r="CU6" t="str">
        <v>0.106749</v>
      </c>
      <c r="CV6" t="str">
        <v>0.000000</v>
      </c>
      <c r="CW6" t="str">
        <v>PSF-01031_20251213223326_aae</v>
      </c>
      <c r="CX6" t="str">
        <v>PFA-00872</v>
      </c>
      <c r="CY6" t="str">
        <v>PSA-00872</v>
      </c>
      <c r="CZ6" t="str">
        <v>PSF-01031</v>
      </c>
      <c r="DA6" t="str">
        <v>RHS-0785</v>
      </c>
      <c r="DB6" t="str">
        <v>3.0.0</v>
      </c>
      <c r="DC6" t="str">
        <v>2025-07-31T17:03:34.552Z</v>
      </c>
    </row>
    <row r="7">
      <c r="A7" t="str">
        <v>4</v>
      </c>
      <c r="B7" t="str">
        <v>22:33:51</v>
      </c>
      <c r="C7" t="str">
        <v>2025-12-13</v>
      </c>
      <c r="D7" t="str">
        <v>FB_Fl_Dark_8k</v>
      </c>
      <c r="E7" t="str">
        <v>Fern</v>
      </c>
      <c r="F7" t="str">
        <v/>
      </c>
      <c r="G7" t="str">
        <v/>
      </c>
      <c r="H7" t="str">
        <v/>
      </c>
      <c r="I7" t="str">
        <v/>
      </c>
      <c r="J7" t="str">
        <f>1/((1/L7)-(1/K7))</f>
        <v>0.002747</v>
      </c>
      <c r="K7" t="str">
        <f>BH7+(BI7*AN7)+(BJ7*AN7*POWER(V7,2))+(BK7*AN7*V7)+(BL7*POWER(AN7,2))</f>
        <v>0.033671</v>
      </c>
      <c r="L7" t="str">
        <f>((M7/1000)*(1000-((T7+S7)/2)))/(T7-S7)</f>
        <v>0.002539</v>
      </c>
      <c r="M7" t="str">
        <f>(AN7*(S7-R7))/(100*U7*(1000-S7))*1000</f>
        <v>0.038775</v>
      </c>
      <c r="N7" t="str">
        <v>1.092220</v>
      </c>
      <c r="O7" t="str">
        <v>0.955685</v>
      </c>
      <c r="P7" t="str">
        <f>0.61365*EXP((17.502*AL7)/(240.97+AL7))</f>
        <v>2.487198</v>
      </c>
      <c r="Q7" t="str">
        <f>P7-N7</f>
        <v>1.394978</v>
      </c>
      <c r="R7" t="str">
        <v>10.259501</v>
      </c>
      <c r="S7" t="str">
        <v>11.725228</v>
      </c>
      <c r="T7" t="str">
        <f>(P7/AM7)*1000</f>
        <v>26.700634</v>
      </c>
      <c r="U7" t="str">
        <f>V7*BG7</f>
        <v>0.441786</v>
      </c>
      <c r="V7" t="str">
        <v>7.500000</v>
      </c>
      <c r="W7" t="str">
        <v>PSF-01031_20251213223351_991</v>
      </c>
      <c r="X7" t="str">
        <v>88.802933</v>
      </c>
      <c r="Y7" t="str">
        <v>90.041039</v>
      </c>
      <c r="Z7" t="str">
        <v>0.013750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0.030371</v>
      </c>
      <c r="AG7" t="str">
        <v>1.000000</v>
      </c>
      <c r="AH7" t="str">
        <v>44.27</v>
      </c>
      <c r="AI7" t="str">
        <v>38.74</v>
      </c>
      <c r="AJ7" t="str">
        <v>20.81</v>
      </c>
      <c r="AK7" t="str">
        <v>20.94</v>
      </c>
      <c r="AL7" t="str">
        <f>(AK7-AJ7)*(AJ7*0+0)+AK7</f>
        <v>20.94</v>
      </c>
      <c r="AM7" t="str">
        <v>93.15</v>
      </c>
      <c r="AN7" t="str">
        <v>1.2</v>
      </c>
      <c r="AO7" t="str">
        <v>-16.1</v>
      </c>
      <c r="AP7" t="str">
        <v>1496.6</v>
      </c>
      <c r="AQ7" t="str">
        <v>6</v>
      </c>
      <c r="AR7" t="str">
        <v>3.879</v>
      </c>
      <c r="AS7" t="str">
        <v>22:31:36</v>
      </c>
      <c r="AT7" t="str">
        <v>2025-12-13</v>
      </c>
      <c r="AU7" t="str">
        <v>5.38</v>
      </c>
      <c r="AV7" t="str">
        <v>1</v>
      </c>
      <c r="AW7" t="str">
        <v>0.000</v>
      </c>
      <c r="AX7" t="str">
        <v>0.000</v>
      </c>
      <c r="AY7" t="str">
        <v>0.000</v>
      </c>
      <c r="AZ7" t="str">
        <v>0.244</v>
      </c>
      <c r="BA7" t="str">
        <v>-0.278</v>
      </c>
      <c r="BB7" t="str">
        <v>0.185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8000</v>
      </c>
      <c r="BQ7" t="str">
        <v>5</v>
      </c>
      <c r="BR7" t="str">
        <v>-9999.000000</v>
      </c>
      <c r="BS7" t="str">
        <v>-9999.000000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2.471375</v>
      </c>
      <c r="CD7" t="str">
        <v>2.437926</v>
      </c>
      <c r="CE7" t="str">
        <v>0.607009</v>
      </c>
      <c r="CF7" t="str">
        <v>0.572212</v>
      </c>
      <c r="CG7" t="str">
        <v>0.322520</v>
      </c>
      <c r="CH7" t="str">
        <v>0.002518</v>
      </c>
      <c r="CI7" t="str">
        <v>0.062814</v>
      </c>
      <c r="CJ7" t="str">
        <v>0.111841</v>
      </c>
      <c r="CK7" t="str">
        <v>88.802933</v>
      </c>
      <c r="CL7" t="str">
        <v>0.000210</v>
      </c>
      <c r="CM7" t="str">
        <v>2.405086</v>
      </c>
      <c r="CN7" t="str">
        <v>0.000013</v>
      </c>
      <c r="CO7" t="str">
        <v>1.000000</v>
      </c>
      <c r="CP7" t="str">
        <v>2.372866</v>
      </c>
      <c r="CQ7" t="str">
        <v>0.000011</v>
      </c>
      <c r="CR7" t="str">
        <v>1.000000</v>
      </c>
      <c r="CS7" t="str">
        <v>0.601157</v>
      </c>
      <c r="CT7" t="str">
        <v>0.601293</v>
      </c>
      <c r="CU7" t="str">
        <v>0.106749</v>
      </c>
      <c r="CV7" t="str">
        <v>0.000000</v>
      </c>
      <c r="CW7" t="str">
        <v>PSF-01031_20251213223351_991</v>
      </c>
      <c r="CX7" t="str">
        <v>PFA-00872</v>
      </c>
      <c r="CY7" t="str">
        <v>PSA-00872</v>
      </c>
      <c r="CZ7" t="str">
        <v>PSF-01031</v>
      </c>
      <c r="DA7" t="str">
        <v>RHS-0785</v>
      </c>
      <c r="DB7" t="str">
        <v>3.0.0</v>
      </c>
      <c r="DC7" t="str">
        <v>2025-07-31T17:03:34.552Z</v>
      </c>
    </row>
    <row r="8">
      <c r="A8" t="str">
        <v>5</v>
      </c>
      <c r="B8" t="str">
        <v>22:34:19</v>
      </c>
      <c r="C8" t="str">
        <v>2025-12-13</v>
      </c>
      <c r="D8" t="str">
        <v>FB_Fl_Dark_8k</v>
      </c>
      <c r="E8" t="str">
        <v>Fern</v>
      </c>
      <c r="F8" t="str">
        <v/>
      </c>
      <c r="G8" t="str">
        <v/>
      </c>
      <c r="H8" t="str">
        <v/>
      </c>
      <c r="I8" t="str">
        <v/>
      </c>
      <c r="J8" t="str">
        <f>1/((1/L8)-(1/K8))</f>
        <v>0.004305</v>
      </c>
      <c r="K8" t="str">
        <f>BH8+(BI8*AN8)+(BJ8*AN8*POWER(V8,2))+(BK8*AN8*V8)+(BL8*POWER(AN8,2))</f>
        <v>0.035423</v>
      </c>
      <c r="L8" t="str">
        <f>((M8/1000)*(1000-((T8+S8)/2)))/(T8-S8)</f>
        <v>0.003838</v>
      </c>
      <c r="M8" t="str">
        <f>(AN8*(S8-R8))/(100*U8*(1000-S8))*1000</f>
        <v>0.056945</v>
      </c>
      <c r="N8" t="str">
        <v>1.150581</v>
      </c>
      <c r="O8" t="str">
        <v>0.960134</v>
      </c>
      <c r="P8" t="str">
        <f>0.61365*EXP((17.502*AL8)/(240.97+AL8))</f>
        <v>2.505489</v>
      </c>
      <c r="Q8" t="str">
        <f>P8-N8</f>
        <v>1.354908</v>
      </c>
      <c r="R8" t="str">
        <v>10.307392</v>
      </c>
      <c r="S8" t="str">
        <v>12.351917</v>
      </c>
      <c r="T8" t="str">
        <f>(P8/AM8)*1000</f>
        <v>26.897360</v>
      </c>
      <c r="U8" t="str">
        <f>V8*BG8</f>
        <v>0.441786</v>
      </c>
      <c r="V8" t="str">
        <v>7.500000</v>
      </c>
      <c r="W8" t="str">
        <v>PSF-01031_20251213223419_94a</v>
      </c>
      <c r="X8" t="str">
        <v>84.946632</v>
      </c>
      <c r="Y8" t="str">
        <v>380.188812</v>
      </c>
      <c r="Z8" t="str">
        <v>0.776567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1.599559</v>
      </c>
      <c r="AG8" t="str">
        <v>1.000000</v>
      </c>
      <c r="AH8" t="str">
        <v>46.45</v>
      </c>
      <c r="AI8" t="str">
        <v>38.76</v>
      </c>
      <c r="AJ8" t="str">
        <v>20.88</v>
      </c>
      <c r="AK8" t="str">
        <v>21.06</v>
      </c>
      <c r="AL8" t="str">
        <f>(AK8-AJ8)*(AJ8*0+0)+AK8</f>
        <v>21.06</v>
      </c>
      <c r="AM8" t="str">
        <v>93.15</v>
      </c>
      <c r="AN8" t="str">
        <v>1.2</v>
      </c>
      <c r="AO8" t="str">
        <v>-16.2</v>
      </c>
      <c r="AP8" t="str">
        <v>1432.4</v>
      </c>
      <c r="AQ8" t="str">
        <v>5</v>
      </c>
      <c r="AR8" t="str">
        <v>3.880</v>
      </c>
      <c r="AS8" t="str">
        <v>22:31:36</v>
      </c>
      <c r="AT8" t="str">
        <v>2025-12-13</v>
      </c>
      <c r="AU8" t="str">
        <v>5.38</v>
      </c>
      <c r="AV8" t="str">
        <v>1</v>
      </c>
      <c r="AW8" t="str">
        <v>0.000</v>
      </c>
      <c r="AX8" t="str">
        <v>0.000</v>
      </c>
      <c r="AY8" t="str">
        <v>0.000</v>
      </c>
      <c r="AZ8" t="str">
        <v>0.544</v>
      </c>
      <c r="BA8" t="str">
        <v>0.462</v>
      </c>
      <c r="BB8" t="str">
        <v>0.638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8000</v>
      </c>
      <c r="BQ8" t="str">
        <v>5</v>
      </c>
      <c r="BR8" t="str">
        <v>-9999.000000</v>
      </c>
      <c r="BS8" t="str">
        <v>-9999.000000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2.471400</v>
      </c>
      <c r="CD8" t="str">
        <v>2.441022</v>
      </c>
      <c r="CE8" t="str">
        <v>0.607315</v>
      </c>
      <c r="CF8" t="str">
        <v>0.572101</v>
      </c>
      <c r="CG8" t="str">
        <v>0.321671</v>
      </c>
      <c r="CH8" t="str">
        <v>0.003117</v>
      </c>
      <c r="CI8" t="str">
        <v>0.066257</v>
      </c>
      <c r="CJ8" t="str">
        <v>0.111498</v>
      </c>
      <c r="CK8" t="str">
        <v>84.861160</v>
      </c>
      <c r="CL8" t="str">
        <v>0.000210</v>
      </c>
      <c r="CM8" t="str">
        <v>2.405086</v>
      </c>
      <c r="CN8" t="str">
        <v>0.000013</v>
      </c>
      <c r="CO8" t="str">
        <v>1.000000</v>
      </c>
      <c r="CP8" t="str">
        <v>2.372866</v>
      </c>
      <c r="CQ8" t="str">
        <v>0.000011</v>
      </c>
      <c r="CR8" t="str">
        <v>1.000000</v>
      </c>
      <c r="CS8" t="str">
        <v>0.601157</v>
      </c>
      <c r="CT8" t="str">
        <v>0.601293</v>
      </c>
      <c r="CU8" t="str">
        <v>0.106749</v>
      </c>
      <c r="CV8" t="str">
        <v>0.000000</v>
      </c>
      <c r="CW8" t="str">
        <v>PSF-01031_20251213223419_94a</v>
      </c>
      <c r="CX8" t="str">
        <v>PFA-00872</v>
      </c>
      <c r="CY8" t="str">
        <v>PSA-00872</v>
      </c>
      <c r="CZ8" t="str">
        <v>PSF-01031</v>
      </c>
      <c r="DA8" t="str">
        <v>RHS-0785</v>
      </c>
      <c r="DB8" t="str">
        <v>3.0.0</v>
      </c>
      <c r="DC8" t="str">
        <v>2025-07-31T17:03:34.552Z</v>
      </c>
    </row>
    <row r="9">
      <c r="A9" t="str">
        <v>6</v>
      </c>
      <c r="B9" t="str">
        <v>22:34:41</v>
      </c>
      <c r="C9" t="str">
        <v>2025-12-13</v>
      </c>
      <c r="D9" t="str">
        <v>FB_Fl_Dark_8k</v>
      </c>
      <c r="E9" t="str">
        <v>Fern</v>
      </c>
      <c r="F9" t="str">
        <v/>
      </c>
      <c r="G9" t="str">
        <v/>
      </c>
      <c r="H9" t="str">
        <v/>
      </c>
      <c r="I9" t="str">
        <v/>
      </c>
      <c r="J9" t="str">
        <f>1/((1/L9)-(1/K9))</f>
        <v>0.004671</v>
      </c>
      <c r="K9" t="str">
        <f>BH9+(BI9*AN9)+(BJ9*AN9*POWER(V9,2))+(BK9*AN9*V9)+(BL9*POWER(AN9,2))</f>
        <v>0.036387</v>
      </c>
      <c r="L9" t="str">
        <f>((M9/1000)*(1000-((T9+S9)/2)))/(T9-S9)</f>
        <v>0.004140</v>
      </c>
      <c r="M9" t="str">
        <f>(AN9*(S9-R9))/(100*U9*(1000-S9))*1000</f>
        <v>0.060935</v>
      </c>
      <c r="N9" t="str">
        <v>1.162038</v>
      </c>
      <c r="O9" t="str">
        <v>0.963662</v>
      </c>
      <c r="P9" t="str">
        <f>0.61365*EXP((17.502*AL9)/(240.97+AL9))</f>
        <v>2.506338</v>
      </c>
      <c r="Q9" t="str">
        <f>P9-N9</f>
        <v>1.344300</v>
      </c>
      <c r="R9" t="str">
        <v>10.344131</v>
      </c>
      <c r="S9" t="str">
        <v>12.473536</v>
      </c>
      <c r="T9" t="str">
        <f>(P9/AM9)*1000</f>
        <v>26.903511</v>
      </c>
      <c r="U9" t="str">
        <f>V9*BG9</f>
        <v>0.441786</v>
      </c>
      <c r="V9" t="str">
        <v>7.500000</v>
      </c>
      <c r="W9" t="str">
        <v>PSF-01031_20251213223441_c3c</v>
      </c>
      <c r="X9" t="str">
        <v>125.949028</v>
      </c>
      <c r="Y9" t="str">
        <v>170.734055</v>
      </c>
      <c r="Z9" t="str">
        <v>0.262309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0.589897</v>
      </c>
      <c r="AG9" t="str">
        <v>1.000000</v>
      </c>
      <c r="AH9" t="str">
        <v>46.75</v>
      </c>
      <c r="AI9" t="str">
        <v>38.77</v>
      </c>
      <c r="AJ9" t="str">
        <v>20.93</v>
      </c>
      <c r="AK9" t="str">
        <v>21.07</v>
      </c>
      <c r="AL9" t="str">
        <f>(AK9-AJ9)*(AJ9*0+0)+AK9</f>
        <v>21.07</v>
      </c>
      <c r="AM9" t="str">
        <v>93.16</v>
      </c>
      <c r="AN9" t="str">
        <v>1.2</v>
      </c>
      <c r="AO9" t="str">
        <v>-16.7</v>
      </c>
      <c r="AP9" t="str">
        <v>1433.9</v>
      </c>
      <c r="AQ9" t="str">
        <v>6</v>
      </c>
      <c r="AR9" t="str">
        <v>3.876</v>
      </c>
      <c r="AS9" t="str">
        <v>22:31:36</v>
      </c>
      <c r="AT9" t="str">
        <v>2025-12-13</v>
      </c>
      <c r="AU9" t="str">
        <v>5.38</v>
      </c>
      <c r="AV9" t="str">
        <v>1</v>
      </c>
      <c r="AW9" t="str">
        <v>-0.000</v>
      </c>
      <c r="AX9" t="str">
        <v>0.000</v>
      </c>
      <c r="AY9" t="str">
        <v>0.002</v>
      </c>
      <c r="AZ9" t="str">
        <v>-0.218</v>
      </c>
      <c r="BA9" t="str">
        <v>0.168</v>
      </c>
      <c r="BB9" t="str">
        <v>0.219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8000</v>
      </c>
      <c r="BQ9" t="str">
        <v>5</v>
      </c>
      <c r="BR9" t="str">
        <v>-9999.000000</v>
      </c>
      <c r="BS9" t="str">
        <v>-9999.000000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2.471406</v>
      </c>
      <c r="CD9" t="str">
        <v>2.441443</v>
      </c>
      <c r="CE9" t="str">
        <v>0.607484</v>
      </c>
      <c r="CF9" t="str">
        <v>0.571281</v>
      </c>
      <c r="CG9" t="str">
        <v>0.320958</v>
      </c>
      <c r="CH9" t="str">
        <v>0.002555</v>
      </c>
      <c r="CI9" t="str">
        <v>0.068869</v>
      </c>
      <c r="CJ9" t="str">
        <v>0.111934</v>
      </c>
      <c r="CK9" t="str">
        <v>125.949028</v>
      </c>
      <c r="CL9" t="str">
        <v>0.000211</v>
      </c>
      <c r="CM9" t="str">
        <v>2.405086</v>
      </c>
      <c r="CN9" t="str">
        <v>0.000013</v>
      </c>
      <c r="CO9" t="str">
        <v>1.000000</v>
      </c>
      <c r="CP9" t="str">
        <v>2.372866</v>
      </c>
      <c r="CQ9" t="str">
        <v>0.000011</v>
      </c>
      <c r="CR9" t="str">
        <v>1.000000</v>
      </c>
      <c r="CS9" t="str">
        <v>0.601157</v>
      </c>
      <c r="CT9" t="str">
        <v>0.601293</v>
      </c>
      <c r="CU9" t="str">
        <v>0.106749</v>
      </c>
      <c r="CV9" t="str">
        <v>0.000000</v>
      </c>
      <c r="CW9" t="str">
        <v>PSF-01031_20251213223441_c3c</v>
      </c>
      <c r="CX9" t="str">
        <v>PFA-00872</v>
      </c>
      <c r="CY9" t="str">
        <v>PSA-00872</v>
      </c>
      <c r="CZ9" t="str">
        <v>PSF-01031</v>
      </c>
      <c r="DA9" t="str">
        <v>RHS-0785</v>
      </c>
      <c r="DB9" t="str">
        <v>3.0.0</v>
      </c>
      <c r="DC9" t="str">
        <v>2025-07-31T17:03:34.552Z</v>
      </c>
    </row>
    <row r="10">
      <c r="A10" t="str">
        <v>7</v>
      </c>
      <c r="B10" t="str">
        <v>22:35:44</v>
      </c>
      <c r="C10" t="str">
        <v>2025-12-13</v>
      </c>
      <c r="D10" t="str">
        <v>FB_Fl_Dark_8k</v>
      </c>
      <c r="E10" t="str">
        <v>Fern</v>
      </c>
      <c r="F10" t="str">
        <v/>
      </c>
      <c r="G10" t="str">
        <v/>
      </c>
      <c r="H10" t="str">
        <v/>
      </c>
      <c r="I10" t="str">
        <v/>
      </c>
      <c r="J10" t="str">
        <f>1/((1/L10)-(1/K10))</f>
        <v>0.003268</v>
      </c>
      <c r="K10" t="str">
        <f>BH10+(BI10*AN10)+(BJ10*AN10*POWER(V10,2))+(BK10*AN10*V10)+(BL10*POWER(AN10,2))</f>
        <v>0.036301</v>
      </c>
      <c r="L10" t="str">
        <f>((M10/1000)*(1000-((T10+S10)/2)))/(T10-S10)</f>
        <v>0.002998</v>
      </c>
      <c r="M10" t="str">
        <f>(AN10*(S10-R10))/(100*U10*(1000-S10))*1000</f>
        <v>0.032773</v>
      </c>
      <c r="N10" t="str">
        <v>1.082283</v>
      </c>
      <c r="O10" t="str">
        <v>0.975249</v>
      </c>
      <c r="P10" t="str">
        <f>0.61365*EXP((17.502*AL10)/(240.97+AL10))</f>
        <v>2.083229</v>
      </c>
      <c r="Q10" t="str">
        <f>P10-N10</f>
        <v>1.000946</v>
      </c>
      <c r="R10" t="str">
        <v>10.469044</v>
      </c>
      <c r="S10" t="str">
        <v>11.618032</v>
      </c>
      <c r="T10" t="str">
        <f>(P10/AM10)*1000</f>
        <v>22.362923</v>
      </c>
      <c r="U10" t="str">
        <f>V10*BG10</f>
        <v>0.441786</v>
      </c>
      <c r="V10" t="str">
        <v>7.500000</v>
      </c>
      <c r="W10" t="str">
        <v>PSF-01031_20251213223544_c56</v>
      </c>
      <c r="X10" t="str">
        <v>80.337166</v>
      </c>
      <c r="Y10" t="str">
        <v>395.330780</v>
      </c>
      <c r="Z10" t="str">
        <v>0.796785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1.741560</v>
      </c>
      <c r="AG10" t="str">
        <v>1.000000</v>
      </c>
      <c r="AH10" t="str">
        <v>43.10</v>
      </c>
      <c r="AI10" t="str">
        <v>38.84</v>
      </c>
      <c r="AJ10" t="str">
        <v>21.10</v>
      </c>
      <c r="AK10" t="str">
        <v>18.09</v>
      </c>
      <c r="AL10" t="str">
        <f>(AK10-AJ10)*(AJ10*0+0)+AK10</f>
        <v>18.09</v>
      </c>
      <c r="AM10" t="str">
        <v>93.16</v>
      </c>
      <c r="AN10" t="str">
        <v>1.2</v>
      </c>
      <c r="AO10" t="str">
        <v>-16.8</v>
      </c>
      <c r="AP10" t="str">
        <v>1450.7</v>
      </c>
      <c r="AQ10" t="str">
        <v>5</v>
      </c>
      <c r="AR10" t="str">
        <v>3.875</v>
      </c>
      <c r="AS10" t="str">
        <v>22:31:36</v>
      </c>
      <c r="AT10" t="str">
        <v>2025-12-13</v>
      </c>
      <c r="AU10" t="str">
        <v>5.38</v>
      </c>
      <c r="AV10" t="str">
        <v>1</v>
      </c>
      <c r="AW10" t="str">
        <v>0.000</v>
      </c>
      <c r="AX10" t="str">
        <v>0.000</v>
      </c>
      <c r="AY10" t="str">
        <v>0.001</v>
      </c>
      <c r="AZ10" t="str">
        <v>-0.340</v>
      </c>
      <c r="BA10" t="str">
        <v>-0.315</v>
      </c>
      <c r="BB10" t="str">
        <v>0.547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8000</v>
      </c>
      <c r="BQ10" t="str">
        <v>5</v>
      </c>
      <c r="BR10" t="str">
        <v>-9999.000000</v>
      </c>
      <c r="BS10" t="str">
        <v>-9999.000000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2.471476</v>
      </c>
      <c r="CD10" t="str">
        <v>2.436192</v>
      </c>
      <c r="CE10" t="str">
        <v>0.607468</v>
      </c>
      <c r="CF10" t="str">
        <v>0.570977</v>
      </c>
      <c r="CG10" t="str">
        <v>0.318808</v>
      </c>
      <c r="CH10" t="str">
        <v>-0.032285</v>
      </c>
      <c r="CI10" t="str">
        <v>0.076394</v>
      </c>
      <c r="CJ10" t="str">
        <v>0.111788</v>
      </c>
      <c r="CK10" t="str">
        <v>80.072876</v>
      </c>
      <c r="CL10" t="str">
        <v>0.000212</v>
      </c>
      <c r="CM10" t="str">
        <v>2.405086</v>
      </c>
      <c r="CN10" t="str">
        <v>0.000013</v>
      </c>
      <c r="CO10" t="str">
        <v>1.000000</v>
      </c>
      <c r="CP10" t="str">
        <v>2.372866</v>
      </c>
      <c r="CQ10" t="str">
        <v>0.000011</v>
      </c>
      <c r="CR10" t="str">
        <v>1.000000</v>
      </c>
      <c r="CS10" t="str">
        <v>0.601157</v>
      </c>
      <c r="CT10" t="str">
        <v>0.601293</v>
      </c>
      <c r="CU10" t="str">
        <v>0.106749</v>
      </c>
      <c r="CV10" t="str">
        <v>0.000000</v>
      </c>
      <c r="CW10" t="str">
        <v>PSF-01031_20251213223544_c56</v>
      </c>
      <c r="CX10" t="str">
        <v>PFA-00872</v>
      </c>
      <c r="CY10" t="str">
        <v>PSA-00872</v>
      </c>
      <c r="CZ10" t="str">
        <v>PSF-01031</v>
      </c>
      <c r="DA10" t="str">
        <v>RHS-0785</v>
      </c>
      <c r="DB10" t="str">
        <v>3.0.0</v>
      </c>
      <c r="DC10" t="str">
        <v>2025-07-31T17:03:34.552Z</v>
      </c>
    </row>
    <row r="11">
      <c r="A11" t="str">
        <v>8</v>
      </c>
      <c r="B11" t="str">
        <v>22:36:07</v>
      </c>
      <c r="C11" t="str">
        <v>2025-12-13</v>
      </c>
      <c r="D11" t="str">
        <v>FB_Fl_Dark_8k</v>
      </c>
      <c r="E11" t="str">
        <v>Fern</v>
      </c>
      <c r="F11" t="str">
        <v/>
      </c>
      <c r="G11" t="str">
        <v/>
      </c>
      <c r="H11" t="str">
        <v/>
      </c>
      <c r="I11" t="str">
        <v/>
      </c>
      <c r="J11" t="str">
        <f>1/((1/L11)-(1/K11))</f>
        <v>0.003122</v>
      </c>
      <c r="K11" t="str">
        <f>BH11+(BI11*AN11)+(BJ11*AN11*POWER(V11,2))+(BK11*AN11*V11)+(BL11*POWER(AN11,2))</f>
        <v>0.035133</v>
      </c>
      <c r="L11" t="str">
        <f>((M11/1000)*(1000-((T11+S11)/2)))/(T11-S11)</f>
        <v>0.002867</v>
      </c>
      <c r="M11" t="str">
        <f>(AN11*(S11-R11))/(100*U11*(1000-S11))*1000</f>
        <v>0.040814</v>
      </c>
      <c r="N11" t="str">
        <v>1.117122</v>
      </c>
      <c r="O11" t="str">
        <v>0.979426</v>
      </c>
      <c r="P11" t="str">
        <f>0.61365*EXP((17.502*AL11)/(240.97+AL11))</f>
        <v>2.418144</v>
      </c>
      <c r="Q11" t="str">
        <f>P11-N11</f>
        <v>1.301022</v>
      </c>
      <c r="R11" t="str">
        <v>10.513373</v>
      </c>
      <c r="S11" t="str">
        <v>11.991430</v>
      </c>
      <c r="T11" t="str">
        <f>(P11/AM11)*1000</f>
        <v>25.956886</v>
      </c>
      <c r="U11" t="str">
        <f>V11*BG11</f>
        <v>0.441786</v>
      </c>
      <c r="V11" t="str">
        <v>7.500000</v>
      </c>
      <c r="W11" t="str">
        <v>PSF-01031_20251213223607_0d3</v>
      </c>
      <c r="X11" t="str">
        <v>73.080536</v>
      </c>
      <c r="Y11" t="str">
        <v>89.796783</v>
      </c>
      <c r="Z11" t="str">
        <v>0.186156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0.398370</v>
      </c>
      <c r="AG11" t="str">
        <v>1.000000</v>
      </c>
      <c r="AH11" t="str">
        <v>44.32</v>
      </c>
      <c r="AI11" t="str">
        <v>38.86</v>
      </c>
      <c r="AJ11" t="str">
        <v>21.16</v>
      </c>
      <c r="AK11" t="str">
        <v>20.49</v>
      </c>
      <c r="AL11" t="str">
        <f>(AK11-AJ11)*(AJ11*0+0)+AK11</f>
        <v>20.49</v>
      </c>
      <c r="AM11" t="str">
        <v>93.16</v>
      </c>
      <c r="AN11" t="str">
        <v>1.2</v>
      </c>
      <c r="AO11" t="str">
        <v>-16.2</v>
      </c>
      <c r="AP11" t="str">
        <v>1440.6</v>
      </c>
      <c r="AQ11" t="str">
        <v>5</v>
      </c>
      <c r="AR11" t="str">
        <v>3.874</v>
      </c>
      <c r="AS11" t="str">
        <v>22:31:36</v>
      </c>
      <c r="AT11" t="str">
        <v>2025-12-13</v>
      </c>
      <c r="AU11" t="str">
        <v>5.38</v>
      </c>
      <c r="AV11" t="str">
        <v>1</v>
      </c>
      <c r="AW11" t="str">
        <v>0.000</v>
      </c>
      <c r="AX11" t="str">
        <v>0.000</v>
      </c>
      <c r="AY11" t="str">
        <v>0.001</v>
      </c>
      <c r="AZ11" t="str">
        <v>0.027</v>
      </c>
      <c r="BA11" t="str">
        <v>-0.024</v>
      </c>
      <c r="BB11" t="str">
        <v>0.418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8000</v>
      </c>
      <c r="BQ11" t="str">
        <v>5</v>
      </c>
      <c r="BR11" t="str">
        <v>-9999.000000</v>
      </c>
      <c r="BS11" t="str">
        <v>-9999.000000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2.471503</v>
      </c>
      <c r="CD11" t="str">
        <v>2.437942</v>
      </c>
      <c r="CE11" t="str">
        <v>0.607264</v>
      </c>
      <c r="CF11" t="str">
        <v>0.572162</v>
      </c>
      <c r="CG11" t="str">
        <v>0.318049</v>
      </c>
      <c r="CH11" t="str">
        <v>-0.006536</v>
      </c>
      <c r="CI11" t="str">
        <v>0.079010</v>
      </c>
      <c r="CJ11" t="str">
        <v>0.111683</v>
      </c>
      <c r="CK11" t="str">
        <v>73.080536</v>
      </c>
      <c r="CL11" t="str">
        <v>0.000212</v>
      </c>
      <c r="CM11" t="str">
        <v>2.405086</v>
      </c>
      <c r="CN11" t="str">
        <v>0.000013</v>
      </c>
      <c r="CO11" t="str">
        <v>1.000000</v>
      </c>
      <c r="CP11" t="str">
        <v>2.372866</v>
      </c>
      <c r="CQ11" t="str">
        <v>0.000011</v>
      </c>
      <c r="CR11" t="str">
        <v>1.000000</v>
      </c>
      <c r="CS11" t="str">
        <v>0.601157</v>
      </c>
      <c r="CT11" t="str">
        <v>0.601293</v>
      </c>
      <c r="CU11" t="str">
        <v>0.106749</v>
      </c>
      <c r="CV11" t="str">
        <v>0.000000</v>
      </c>
      <c r="CW11" t="str">
        <v>PSF-01031_20251213223607_0d3</v>
      </c>
      <c r="CX11" t="str">
        <v>PFA-00872</v>
      </c>
      <c r="CY11" t="str">
        <v>PSA-00872</v>
      </c>
      <c r="CZ11" t="str">
        <v>PSF-01031</v>
      </c>
      <c r="DA11" t="str">
        <v>RHS-0785</v>
      </c>
      <c r="DB11" t="str">
        <v>3.0.0</v>
      </c>
      <c r="DC11" t="str">
        <v>2025-07-31T17:03:34.552Z</v>
      </c>
    </row>
    <row r="12">
      <c r="A12" t="str">
        <v>9</v>
      </c>
      <c r="B12" t="str">
        <v>22:36:28</v>
      </c>
      <c r="C12" t="str">
        <v>2025-12-13</v>
      </c>
      <c r="D12" t="str">
        <v>FB_Fl_Dark_8k</v>
      </c>
      <c r="E12" t="str">
        <v>Fern</v>
      </c>
      <c r="F12" t="str">
        <v/>
      </c>
      <c r="G12" t="str">
        <v/>
      </c>
      <c r="H12" t="str">
        <v/>
      </c>
      <c r="I12" t="str">
        <v/>
      </c>
      <c r="J12" t="str">
        <f>1/((1/L12)-(1/K12))</f>
        <v>0.002944</v>
      </c>
      <c r="K12" t="str">
        <f>BH12+(BI12*AN12)+(BJ12*AN12*POWER(V12,2))+(BK12*AN12*V12)+(BL12*POWER(AN12,2))</f>
        <v>0.035200</v>
      </c>
      <c r="L12" t="str">
        <f>((M12/1000)*(1000-((T12+S12)/2)))/(T12-S12)</f>
        <v>0.002717</v>
      </c>
      <c r="M12" t="str">
        <f>(AN12*(S12-R12))/(100*U12*(1000-S12))*1000</f>
        <v>0.037148</v>
      </c>
      <c r="N12" t="str">
        <v>1.108602</v>
      </c>
      <c r="O12" t="str">
        <v>0.983518</v>
      </c>
      <c r="P12" t="str">
        <f>0.61365*EXP((17.502*AL12)/(240.97+AL12))</f>
        <v>2.358721</v>
      </c>
      <c r="Q12" t="str">
        <f>P12-N12</f>
        <v>1.250118</v>
      </c>
      <c r="R12" t="str">
        <v>10.558289</v>
      </c>
      <c r="S12" t="str">
        <v>11.901100</v>
      </c>
      <c r="T12" t="str">
        <f>(P12/AM12)*1000</f>
        <v>25.321407</v>
      </c>
      <c r="U12" t="str">
        <f>V12*BG12</f>
        <v>0.441786</v>
      </c>
      <c r="V12" t="str">
        <v>7.500000</v>
      </c>
      <c r="W12" t="str">
        <v>PSF-01031_20251213223628_812</v>
      </c>
      <c r="X12" t="str">
        <v>95.983383</v>
      </c>
      <c r="Y12" t="str">
        <v>450.182678</v>
      </c>
      <c r="Z12" t="str">
        <v>0.786790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1.675290</v>
      </c>
      <c r="AG12" t="str">
        <v>1.000000</v>
      </c>
      <c r="AH12" t="str">
        <v>43.83</v>
      </c>
      <c r="AI12" t="str">
        <v>38.88</v>
      </c>
      <c r="AJ12" t="str">
        <v>21.22</v>
      </c>
      <c r="AK12" t="str">
        <v>20.08</v>
      </c>
      <c r="AL12" t="str">
        <f>(AK12-AJ12)*(AJ12*0+0)+AK12</f>
        <v>20.08</v>
      </c>
      <c r="AM12" t="str">
        <v>93.15</v>
      </c>
      <c r="AN12" t="str">
        <v>1.2</v>
      </c>
      <c r="AO12" t="str">
        <v>-16.4</v>
      </c>
      <c r="AP12" t="str">
        <v>1455.0</v>
      </c>
      <c r="AQ12" t="str">
        <v>5</v>
      </c>
      <c r="AR12" t="str">
        <v>3.872</v>
      </c>
      <c r="AS12" t="str">
        <v>22:31:36</v>
      </c>
      <c r="AT12" t="str">
        <v>2025-12-13</v>
      </c>
      <c r="AU12" t="str">
        <v>5.38</v>
      </c>
      <c r="AV12" t="str">
        <v>1</v>
      </c>
      <c r="AW12" t="str">
        <v>-0.000</v>
      </c>
      <c r="AX12" t="str">
        <v>0.000</v>
      </c>
      <c r="AY12" t="str">
        <v>0.000</v>
      </c>
      <c r="AZ12" t="str">
        <v>0.216</v>
      </c>
      <c r="BA12" t="str">
        <v>0.431</v>
      </c>
      <c r="BB12" t="str">
        <v>0.719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8000</v>
      </c>
      <c r="BQ12" t="str">
        <v>5</v>
      </c>
      <c r="BR12" t="str">
        <v>-9999.000000</v>
      </c>
      <c r="BS12" t="str">
        <v>-9999.000000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2.471522</v>
      </c>
      <c r="CD12" t="str">
        <v>2.437217</v>
      </c>
      <c r="CE12" t="str">
        <v>0.607276</v>
      </c>
      <c r="CF12" t="str">
        <v>0.571797</v>
      </c>
      <c r="CG12" t="str">
        <v>0.317289</v>
      </c>
      <c r="CH12" t="str">
        <v>-0.011701</v>
      </c>
      <c r="CI12" t="str">
        <v>0.081364</v>
      </c>
      <c r="CJ12" t="str">
        <v>0.111658</v>
      </c>
      <c r="CK12" t="str">
        <v>95.983383</v>
      </c>
      <c r="CL12" t="str">
        <v>0.000210</v>
      </c>
      <c r="CM12" t="str">
        <v>2.405086</v>
      </c>
      <c r="CN12" t="str">
        <v>0.000013</v>
      </c>
      <c r="CO12" t="str">
        <v>1.000000</v>
      </c>
      <c r="CP12" t="str">
        <v>2.372866</v>
      </c>
      <c r="CQ12" t="str">
        <v>0.000011</v>
      </c>
      <c r="CR12" t="str">
        <v>1.000000</v>
      </c>
      <c r="CS12" t="str">
        <v>0.601157</v>
      </c>
      <c r="CT12" t="str">
        <v>0.601293</v>
      </c>
      <c r="CU12" t="str">
        <v>0.106749</v>
      </c>
      <c r="CV12" t="str">
        <v>0.000000</v>
      </c>
      <c r="CW12" t="str">
        <v>PSF-01031_20251213223628_812</v>
      </c>
      <c r="CX12" t="str">
        <v>PFA-00872</v>
      </c>
      <c r="CY12" t="str">
        <v>PSA-00872</v>
      </c>
      <c r="CZ12" t="str">
        <v>PSF-01031</v>
      </c>
      <c r="DA12" t="str">
        <v>RHS-0785</v>
      </c>
      <c r="DB12" t="str">
        <v>3.0.0</v>
      </c>
      <c r="DC12" t="str">
        <v>2025-07-31T17:03:34.552Z</v>
      </c>
    </row>
    <row r="13">
      <c r="A13" t="str">
        <v>10</v>
      </c>
      <c r="B13" t="str">
        <v>22:36:52</v>
      </c>
      <c r="C13" t="str">
        <v>2025-12-13</v>
      </c>
      <c r="D13" t="str">
        <v>FB_Fl_Dark_8k</v>
      </c>
      <c r="E13" t="str">
        <v>Fern</v>
      </c>
      <c r="F13" t="str">
        <v/>
      </c>
      <c r="G13" t="str">
        <v/>
      </c>
      <c r="H13" t="str">
        <v/>
      </c>
      <c r="I13" t="str">
        <v/>
      </c>
      <c r="J13" t="str">
        <f>1/((1/L13)-(1/K13))</f>
        <v>0.002713</v>
      </c>
      <c r="K13" t="str">
        <f>BH13+(BI13*AN13)+(BJ13*AN13*POWER(V13,2))+(BK13*AN13*V13)+(BL13*POWER(AN13,2))</f>
        <v>0.032592</v>
      </c>
      <c r="L13" t="str">
        <f>((M13/1000)*(1000-((T13+S13)/2)))/(T13-S13)</f>
        <v>0.002505</v>
      </c>
      <c r="M13" t="str">
        <f>(AN13*(S13-R13))/(100*U13*(1000-S13))*1000</f>
        <v>0.038189</v>
      </c>
      <c r="N13" t="str">
        <v>1.128002</v>
      </c>
      <c r="O13" t="str">
        <v>0.989105</v>
      </c>
      <c r="P13" t="str">
        <f>0.61365*EXP((17.502*AL13)/(240.97+AL13))</f>
        <v>2.520701</v>
      </c>
      <c r="Q13" t="str">
        <f>P13-N13</f>
        <v>1.392699</v>
      </c>
      <c r="R13" t="str">
        <v>10.617332</v>
      </c>
      <c r="S13" t="str">
        <v>12.108285</v>
      </c>
      <c r="T13" t="str">
        <f>(P13/AM13)*1000</f>
        <v>27.057905</v>
      </c>
      <c r="U13" t="str">
        <f>V13*BG13</f>
        <v>0.441786</v>
      </c>
      <c r="V13" t="str">
        <v>7.500000</v>
      </c>
      <c r="W13" t="str">
        <v>PSF-01031_20251213223652_828</v>
      </c>
      <c r="X13" t="str">
        <v>97.811935</v>
      </c>
      <c r="Y13" t="str">
        <v>103.045464</v>
      </c>
      <c r="Z13" t="str">
        <v>0.050789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0.109907</v>
      </c>
      <c r="AG13" t="str">
        <v>1.000000</v>
      </c>
      <c r="AH13" t="str">
        <v>44.39</v>
      </c>
      <c r="AI13" t="str">
        <v>38.92</v>
      </c>
      <c r="AJ13" t="str">
        <v>21.29</v>
      </c>
      <c r="AK13" t="str">
        <v>21.16</v>
      </c>
      <c r="AL13" t="str">
        <f>(AK13-AJ13)*(AJ13*0+0)+AK13</f>
        <v>21.16</v>
      </c>
      <c r="AM13" t="str">
        <v>93.16</v>
      </c>
      <c r="AN13" t="str">
        <v>1.1</v>
      </c>
      <c r="AO13" t="str">
        <v>-15.7</v>
      </c>
      <c r="AP13" t="str">
        <v>1504.3</v>
      </c>
      <c r="AQ13" t="str">
        <v>5</v>
      </c>
      <c r="AR13" t="str">
        <v>3.870</v>
      </c>
      <c r="AS13" t="str">
        <v>22:31:36</v>
      </c>
      <c r="AT13" t="str">
        <v>2025-12-13</v>
      </c>
      <c r="AU13" t="str">
        <v>5.38</v>
      </c>
      <c r="AV13" t="str">
        <v>1</v>
      </c>
      <c r="AW13" t="str">
        <v>0.000</v>
      </c>
      <c r="AX13" t="str">
        <v>0.001</v>
      </c>
      <c r="AY13" t="str">
        <v>0.001</v>
      </c>
      <c r="AZ13" t="str">
        <v>-0.044</v>
      </c>
      <c r="BA13" t="str">
        <v>0.129</v>
      </c>
      <c r="BB13" t="str">
        <v>0.366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8000</v>
      </c>
      <c r="BQ13" t="str">
        <v>5</v>
      </c>
      <c r="BR13" t="str">
        <v>-9999.000000</v>
      </c>
      <c r="BS13" t="str">
        <v>-9999.000000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2.471573</v>
      </c>
      <c r="CD13" t="str">
        <v>2.438012</v>
      </c>
      <c r="CE13" t="str">
        <v>0.606820</v>
      </c>
      <c r="CF13" t="str">
        <v>0.572981</v>
      </c>
      <c r="CG13" t="str">
        <v>0.316339</v>
      </c>
      <c r="CH13" t="str">
        <v>-0.000485</v>
      </c>
      <c r="CI13" t="str">
        <v>0.084113</v>
      </c>
      <c r="CJ13" t="str">
        <v>0.111738</v>
      </c>
      <c r="CK13" t="str">
        <v>97.811935</v>
      </c>
      <c r="CL13" t="str">
        <v>0.000211</v>
      </c>
      <c r="CM13" t="str">
        <v>2.405086</v>
      </c>
      <c r="CN13" t="str">
        <v>0.000013</v>
      </c>
      <c r="CO13" t="str">
        <v>1.000000</v>
      </c>
      <c r="CP13" t="str">
        <v>2.372866</v>
      </c>
      <c r="CQ13" t="str">
        <v>0.000011</v>
      </c>
      <c r="CR13" t="str">
        <v>1.000000</v>
      </c>
      <c r="CS13" t="str">
        <v>0.601157</v>
      </c>
      <c r="CT13" t="str">
        <v>0.601293</v>
      </c>
      <c r="CU13" t="str">
        <v>0.106749</v>
      </c>
      <c r="CV13" t="str">
        <v>0.000000</v>
      </c>
      <c r="CW13" t="str">
        <v>PSF-01031_20251213223652_828</v>
      </c>
      <c r="CX13" t="str">
        <v>PFA-00872</v>
      </c>
      <c r="CY13" t="str">
        <v>PSA-00872</v>
      </c>
      <c r="CZ13" t="str">
        <v>PSF-01031</v>
      </c>
      <c r="DA13" t="str">
        <v>RHS-0785</v>
      </c>
      <c r="DB13" t="str">
        <v>3.0.0</v>
      </c>
      <c r="DC13" t="str">
        <v>2025-07-31T17:03:34.552Z</v>
      </c>
    </row>
    <row r="14">
      <c r="A14" t="str">
        <v>11</v>
      </c>
      <c r="B14" t="str">
        <v>22:38:09</v>
      </c>
      <c r="C14" t="str">
        <v>2025-12-13</v>
      </c>
      <c r="D14" t="str">
        <v>FB_Fl_Dark_8k</v>
      </c>
      <c r="E14" t="str">
        <v>Fern</v>
      </c>
      <c r="F14" t="str">
        <v/>
      </c>
      <c r="G14" t="str">
        <v/>
      </c>
      <c r="H14" t="str">
        <v/>
      </c>
      <c r="I14" t="str">
        <v/>
      </c>
      <c r="J14" t="str">
        <f>1/((1/L14)-(1/K14))</f>
        <v>0.003555</v>
      </c>
      <c r="K14" t="str">
        <f>BH14+(BI14*AN14)+(BJ14*AN14*POWER(V14,2))+(BK14*AN14*V14)+(BL14*POWER(AN14,2))</f>
        <v>0.034596</v>
      </c>
      <c r="L14" t="str">
        <f>((M14/1000)*(1000-((T14+S14)/2)))/(T14-S14)</f>
        <v>0.003223</v>
      </c>
      <c r="M14" t="str">
        <f>(AN14*(S14-R14))/(100*U14*(1000-S14))*1000</f>
        <v>0.035906</v>
      </c>
      <c r="N14" t="str">
        <v>1.128062</v>
      </c>
      <c r="O14" t="str">
        <v>1.005066</v>
      </c>
      <c r="P14" t="str">
        <f>0.61365*EXP((17.502*AL14)/(240.97+AL14))</f>
        <v>2.147445</v>
      </c>
      <c r="Q14" t="str">
        <f>P14-N14</f>
        <v>1.019383</v>
      </c>
      <c r="R14" t="str">
        <v>10.789378</v>
      </c>
      <c r="S14" t="str">
        <v>12.109741</v>
      </c>
      <c r="T14" t="str">
        <f>(P14/AM14)*1000</f>
        <v>23.052820</v>
      </c>
      <c r="U14" t="str">
        <f>V14*BG14</f>
        <v>0.441786</v>
      </c>
      <c r="V14" t="str">
        <v>7.500000</v>
      </c>
      <c r="W14" t="str">
        <v>PSF-01031_20251213223809_553</v>
      </c>
      <c r="X14" t="str">
        <v>50.848961</v>
      </c>
      <c r="Y14" t="str">
        <v>229.750519</v>
      </c>
      <c r="Z14" t="str">
        <v>0.778677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0.680877</v>
      </c>
      <c r="AG14" t="str">
        <v>1.000000</v>
      </c>
      <c r="AH14" t="str">
        <v>43.75</v>
      </c>
      <c r="AI14" t="str">
        <v>38.98</v>
      </c>
      <c r="AJ14" t="str">
        <v>21.53</v>
      </c>
      <c r="AK14" t="str">
        <v>18.58</v>
      </c>
      <c r="AL14" t="str">
        <f>(AK14-AJ14)*(AJ14*0+0)+AK14</f>
        <v>18.58</v>
      </c>
      <c r="AM14" t="str">
        <v>93.15</v>
      </c>
      <c r="AN14" t="str">
        <v>1.2</v>
      </c>
      <c r="AO14" t="str">
        <v>-16.2</v>
      </c>
      <c r="AP14" t="str">
        <v>1462.2</v>
      </c>
      <c r="AQ14" t="str">
        <v>2</v>
      </c>
      <c r="AR14" t="str">
        <v>3.869</v>
      </c>
      <c r="AS14" t="str">
        <v>22:31:36</v>
      </c>
      <c r="AT14" t="str">
        <v>2025-12-13</v>
      </c>
      <c r="AU14" t="str">
        <v>5.38</v>
      </c>
      <c r="AV14" t="str">
        <v>1</v>
      </c>
      <c r="AW14" t="str">
        <v>0.001</v>
      </c>
      <c r="AX14" t="str">
        <v>0.001</v>
      </c>
      <c r="AY14" t="str">
        <v>0.001</v>
      </c>
      <c r="AZ14" t="str">
        <v>-0.249</v>
      </c>
      <c r="BA14" t="str">
        <v>-0.296</v>
      </c>
      <c r="BB14" t="str">
        <v>-0.635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8000</v>
      </c>
      <c r="BQ14" t="str">
        <v>5</v>
      </c>
      <c r="BR14" t="str">
        <v>-9999.000000</v>
      </c>
      <c r="BS14" t="str">
        <v>-9999.000000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2.471623</v>
      </c>
      <c r="CD14" t="str">
        <v>2.437062</v>
      </c>
      <c r="CE14" t="str">
        <v>0.607171</v>
      </c>
      <c r="CF14" t="str">
        <v>0.572146</v>
      </c>
      <c r="CG14" t="str">
        <v>0.313352</v>
      </c>
      <c r="CH14" t="str">
        <v>-0.031845</v>
      </c>
      <c r="CI14" t="str">
        <v>0.092780</v>
      </c>
      <c r="CJ14" t="str">
        <v>0.108765</v>
      </c>
      <c r="CK14" t="str">
        <v>50.848961</v>
      </c>
      <c r="CL14" t="str">
        <v>0.000211</v>
      </c>
      <c r="CM14" t="str">
        <v>2.405086</v>
      </c>
      <c r="CN14" t="str">
        <v>0.000013</v>
      </c>
      <c r="CO14" t="str">
        <v>1.000000</v>
      </c>
      <c r="CP14" t="str">
        <v>2.372866</v>
      </c>
      <c r="CQ14" t="str">
        <v>0.000011</v>
      </c>
      <c r="CR14" t="str">
        <v>1.000000</v>
      </c>
      <c r="CS14" t="str">
        <v>0.601157</v>
      </c>
      <c r="CT14" t="str">
        <v>0.601293</v>
      </c>
      <c r="CU14" t="str">
        <v>0.106749</v>
      </c>
      <c r="CV14" t="str">
        <v>0.000000</v>
      </c>
      <c r="CW14" t="str">
        <v>PSF-01031_20251213223809_553</v>
      </c>
      <c r="CX14" t="str">
        <v>PFA-00872</v>
      </c>
      <c r="CY14" t="str">
        <v>PSA-00872</v>
      </c>
      <c r="CZ14" t="str">
        <v>PSF-01031</v>
      </c>
      <c r="DA14" t="str">
        <v>RHS-0785</v>
      </c>
      <c r="DB14" t="str">
        <v>3.0.0</v>
      </c>
      <c r="DC14" t="str">
        <v>2025-07-31T17:03:34.552Z</v>
      </c>
    </row>
    <row r="15">
      <c r="A15" t="str">
        <v>12</v>
      </c>
      <c r="B15" t="str">
        <v>22:38:31</v>
      </c>
      <c r="C15" t="str">
        <v>2025-12-13</v>
      </c>
      <c r="D15" t="str">
        <v>FB_Fl_Dark_8k</v>
      </c>
      <c r="E15" t="str">
        <v>Fern</v>
      </c>
      <c r="F15" t="str">
        <v/>
      </c>
      <c r="G15" t="str">
        <v/>
      </c>
      <c r="H15" t="str">
        <v/>
      </c>
      <c r="I15" t="str">
        <v/>
      </c>
      <c r="J15" t="str">
        <f>1/((1/L15)-(1/K15))</f>
        <v>0.002467</v>
      </c>
      <c r="K15" t="str">
        <f>BH15+(BI15*AN15)+(BJ15*AN15*POWER(V15,2))+(BK15*AN15*V15)+(BL15*POWER(AN15,2))</f>
        <v>0.034940</v>
      </c>
      <c r="L15" t="str">
        <f>((M15/1000)*(1000-((T15+S15)/2)))/(T15-S15)</f>
        <v>0.002304</v>
      </c>
      <c r="M15" t="str">
        <f>(AN15*(S15-R15))/(100*U15*(1000-S15))*1000</f>
        <v>0.029131</v>
      </c>
      <c r="N15" t="str">
        <v>1.108662</v>
      </c>
      <c r="O15" t="str">
        <v>1.009838</v>
      </c>
      <c r="P15" t="str">
        <f>0.61365*EXP((17.502*AL15)/(240.97+AL15))</f>
        <v>2.264932</v>
      </c>
      <c r="Q15" t="str">
        <f>P15-N15</f>
        <v>1.156270</v>
      </c>
      <c r="R15" t="str">
        <v>10.840583</v>
      </c>
      <c r="S15" t="str">
        <v>11.901450</v>
      </c>
      <c r="T15" t="str">
        <f>(P15/AM15)*1000</f>
        <v>24.313976</v>
      </c>
      <c r="U15" t="str">
        <f>V15*BG15</f>
        <v>0.441786</v>
      </c>
      <c r="V15" t="str">
        <v>7.500000</v>
      </c>
      <c r="W15" t="str">
        <v>PSF-01031_20251213223831_72b</v>
      </c>
      <c r="X15" t="str">
        <v>52.013397</v>
      </c>
      <c r="Y15" t="str">
        <v>186.247223</v>
      </c>
      <c r="Z15" t="str">
        <v>0.720729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0.470899</v>
      </c>
      <c r="AG15" t="str">
        <v>1.000000</v>
      </c>
      <c r="AH15" t="str">
        <v>42.85</v>
      </c>
      <c r="AI15" t="str">
        <v>39.03</v>
      </c>
      <c r="AJ15" t="str">
        <v>21.59</v>
      </c>
      <c r="AK15" t="str">
        <v>19.43</v>
      </c>
      <c r="AL15" t="str">
        <f>(AK15-AJ15)*(AJ15*0+0)+AK15</f>
        <v>19.43</v>
      </c>
      <c r="AM15" t="str">
        <v>93.15</v>
      </c>
      <c r="AN15" t="str">
        <v>1.2</v>
      </c>
      <c r="AO15" t="str">
        <v>-16.1</v>
      </c>
      <c r="AP15" t="str">
        <v>1439.2</v>
      </c>
      <c r="AQ15" t="str">
        <v>2</v>
      </c>
      <c r="AR15" t="str">
        <v>3.865</v>
      </c>
      <c r="AS15" t="str">
        <v>22:31:36</v>
      </c>
      <c r="AT15" t="str">
        <v>2025-12-13</v>
      </c>
      <c r="AU15" t="str">
        <v>5.38</v>
      </c>
      <c r="AV15" t="str">
        <v>1</v>
      </c>
      <c r="AW15" t="str">
        <v>0.000</v>
      </c>
      <c r="AX15" t="str">
        <v>0.000</v>
      </c>
      <c r="AY15" t="str">
        <v>0.000</v>
      </c>
      <c r="AZ15" t="str">
        <v>0.043</v>
      </c>
      <c r="BA15" t="str">
        <v>0.148</v>
      </c>
      <c r="BB15" t="str">
        <v>0.544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8000</v>
      </c>
      <c r="BQ15" t="str">
        <v>5</v>
      </c>
      <c r="BR15" t="str">
        <v>-9999.000000</v>
      </c>
      <c r="BS15" t="str">
        <v>-9999.000000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2.471684</v>
      </c>
      <c r="CD15" t="str">
        <v>2.435754</v>
      </c>
      <c r="CE15" t="str">
        <v>0.607231</v>
      </c>
      <c r="CF15" t="str">
        <v>0.572350</v>
      </c>
      <c r="CG15" t="str">
        <v>0.312630</v>
      </c>
      <c r="CH15" t="str">
        <v>-0.023115</v>
      </c>
      <c r="CI15" t="str">
        <v>0.095131</v>
      </c>
      <c r="CJ15" t="str">
        <v>0.108255</v>
      </c>
      <c r="CK15" t="str">
        <v>52.013397</v>
      </c>
      <c r="CL15" t="str">
        <v>0.000212</v>
      </c>
      <c r="CM15" t="str">
        <v>2.405086</v>
      </c>
      <c r="CN15" t="str">
        <v>0.000013</v>
      </c>
      <c r="CO15" t="str">
        <v>1.000000</v>
      </c>
      <c r="CP15" t="str">
        <v>2.372866</v>
      </c>
      <c r="CQ15" t="str">
        <v>0.000011</v>
      </c>
      <c r="CR15" t="str">
        <v>1.000000</v>
      </c>
      <c r="CS15" t="str">
        <v>0.601157</v>
      </c>
      <c r="CT15" t="str">
        <v>0.601293</v>
      </c>
      <c r="CU15" t="str">
        <v>0.106749</v>
      </c>
      <c r="CV15" t="str">
        <v>0.000000</v>
      </c>
      <c r="CW15" t="str">
        <v>PSF-01031_20251213223831_72b</v>
      </c>
      <c r="CX15" t="str">
        <v>PFA-00872</v>
      </c>
      <c r="CY15" t="str">
        <v>PSA-00872</v>
      </c>
      <c r="CZ15" t="str">
        <v>PSF-01031</v>
      </c>
      <c r="DA15" t="str">
        <v>RHS-0785</v>
      </c>
      <c r="DB15" t="str">
        <v>3.0.0</v>
      </c>
      <c r="DC15" t="str">
        <v>2025-07-31T17:03:34.552Z</v>
      </c>
    </row>
    <row r="16">
      <c r="A16" t="str">
        <v>13</v>
      </c>
      <c r="B16" t="str">
        <v>22:39:28</v>
      </c>
      <c r="C16" t="str">
        <v>2025-12-13</v>
      </c>
      <c r="D16" t="str">
        <v>FB_Fl_Dark_8k</v>
      </c>
      <c r="E16" t="str">
        <v>Fern</v>
      </c>
      <c r="F16" t="str">
        <v/>
      </c>
      <c r="G16" t="str">
        <v/>
      </c>
      <c r="H16" t="str">
        <v/>
      </c>
      <c r="I16" t="str">
        <v/>
      </c>
      <c r="J16" t="str">
        <f>1/((1/L16)-(1/K16))</f>
        <v>0.001028</v>
      </c>
      <c r="K16" t="str">
        <f>BH16+(BI16*AN16)+(BJ16*AN16*POWER(V16,2))+(BK16*AN16*V16)+(BL16*POWER(AN16,2))</f>
        <v>0.034271</v>
      </c>
      <c r="L16" t="str">
        <f>((M16/1000)*(1000-((T16+S16)/2)))/(T16-S16)</f>
        <v>0.000998</v>
      </c>
      <c r="M16" t="str">
        <f>(AN16*(S16-R16))/(100*U16*(1000-S16))*1000</f>
        <v>0.009970</v>
      </c>
      <c r="N16" t="str">
        <v>1.056957</v>
      </c>
      <c r="O16" t="str">
        <v>1.022450</v>
      </c>
      <c r="P16" t="str">
        <f>0.61365*EXP((17.502*AL16)/(240.97+AL16))</f>
        <v>1.972556</v>
      </c>
      <c r="Q16" t="str">
        <f>P16-N16</f>
        <v>0.915599</v>
      </c>
      <c r="R16" t="str">
        <v>10.974819</v>
      </c>
      <c r="S16" t="str">
        <v>11.345208</v>
      </c>
      <c r="T16" t="str">
        <f>(P16/AM16)*1000</f>
        <v>21.173109</v>
      </c>
      <c r="U16" t="str">
        <f>V16*BG16</f>
        <v>0.441786</v>
      </c>
      <c r="V16" t="str">
        <v>7.500000</v>
      </c>
      <c r="W16" t="str">
        <v>PSF-01031_20251213223928_f20</v>
      </c>
      <c r="X16" t="str">
        <v>86.478714</v>
      </c>
      <c r="Y16" t="str">
        <v>441.097504</v>
      </c>
      <c r="Z16" t="str">
        <v>0.803946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1.794749</v>
      </c>
      <c r="AG16" t="str">
        <v>1.000000</v>
      </c>
      <c r="AH16" t="str">
        <v>40.45</v>
      </c>
      <c r="AI16" t="str">
        <v>39.13</v>
      </c>
      <c r="AJ16" t="str">
        <v>21.75</v>
      </c>
      <c r="AK16" t="str">
        <v>17.23</v>
      </c>
      <c r="AL16" t="str">
        <f>(AK16-AJ16)*(AJ16*0+0)+AK16</f>
        <v>17.23</v>
      </c>
      <c r="AM16" t="str">
        <v>93.16</v>
      </c>
      <c r="AN16" t="str">
        <v>1.2</v>
      </c>
      <c r="AO16" t="str">
        <v>-15.8</v>
      </c>
      <c r="AP16" t="str">
        <v>1446.5</v>
      </c>
      <c r="AQ16" t="str">
        <v>6</v>
      </c>
      <c r="AR16" t="str">
        <v>3.865</v>
      </c>
      <c r="AS16" t="str">
        <v>22:31:36</v>
      </c>
      <c r="AT16" t="str">
        <v>2025-12-13</v>
      </c>
      <c r="AU16" t="str">
        <v>5.38</v>
      </c>
      <c r="AV16" t="str">
        <v>1</v>
      </c>
      <c r="AW16" t="str">
        <v>0.000</v>
      </c>
      <c r="AX16" t="str">
        <v>-0.000</v>
      </c>
      <c r="AY16" t="str">
        <v>0.001</v>
      </c>
      <c r="AZ16" t="str">
        <v>0.040</v>
      </c>
      <c r="BA16" t="str">
        <v>0.140</v>
      </c>
      <c r="BB16" t="str">
        <v>0.365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8000</v>
      </c>
      <c r="BQ16" t="str">
        <v>5</v>
      </c>
      <c r="BR16" t="str">
        <v>-9999.000000</v>
      </c>
      <c r="BS16" t="str">
        <v>-9999.000000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2.471800</v>
      </c>
      <c r="CD16" t="str">
        <v>2.432250</v>
      </c>
      <c r="CE16" t="str">
        <v>0.607114</v>
      </c>
      <c r="CF16" t="str">
        <v>0.572748</v>
      </c>
      <c r="CG16" t="str">
        <v>0.310595</v>
      </c>
      <c r="CH16" t="str">
        <v>-0.048991</v>
      </c>
      <c r="CI16" t="str">
        <v>0.101374</v>
      </c>
      <c r="CJ16" t="str">
        <v>0.111896</v>
      </c>
      <c r="CK16" t="str">
        <v>86.478714</v>
      </c>
      <c r="CL16" t="str">
        <v>0.000211</v>
      </c>
      <c r="CM16" t="str">
        <v>2.405086</v>
      </c>
      <c r="CN16" t="str">
        <v>0.000013</v>
      </c>
      <c r="CO16" t="str">
        <v>1.000000</v>
      </c>
      <c r="CP16" t="str">
        <v>2.372866</v>
      </c>
      <c r="CQ16" t="str">
        <v>0.000011</v>
      </c>
      <c r="CR16" t="str">
        <v>1.000000</v>
      </c>
      <c r="CS16" t="str">
        <v>0.601157</v>
      </c>
      <c r="CT16" t="str">
        <v>0.601293</v>
      </c>
      <c r="CU16" t="str">
        <v>0.106749</v>
      </c>
      <c r="CV16" t="str">
        <v>0.000000</v>
      </c>
      <c r="CW16" t="str">
        <v>PSF-01031_20251213223928_f20</v>
      </c>
      <c r="CX16" t="str">
        <v>PFA-00872</v>
      </c>
      <c r="CY16" t="str">
        <v>PSA-00872</v>
      </c>
      <c r="CZ16" t="str">
        <v>PSF-01031</v>
      </c>
      <c r="DA16" t="str">
        <v>RHS-0785</v>
      </c>
      <c r="DB16" t="str">
        <v>3.0.0</v>
      </c>
      <c r="DC16" t="str">
        <v>2025-07-31T17:03:34.552Z</v>
      </c>
    </row>
    <row r="17">
      <c r="A17" t="str">
        <v>14</v>
      </c>
      <c r="B17" t="str">
        <v>22:39:54</v>
      </c>
      <c r="C17" t="str">
        <v>2025-12-13</v>
      </c>
      <c r="D17" t="str">
        <v>FB_Fl_Dark_8k</v>
      </c>
      <c r="E17" t="str">
        <v>Fern</v>
      </c>
      <c r="F17" t="str">
        <v/>
      </c>
      <c r="G17" t="str">
        <v/>
      </c>
      <c r="H17" t="str">
        <v/>
      </c>
      <c r="I17" t="str">
        <v/>
      </c>
      <c r="J17" t="str">
        <f>1/((1/L17)-(1/K17))</f>
        <v>0.002850</v>
      </c>
      <c r="K17" t="str">
        <f>BH17+(BI17*AN17)+(BJ17*AN17*POWER(V17,2))+(BK17*AN17*V17)+(BL17*POWER(AN17,2))</f>
        <v>0.033036</v>
      </c>
      <c r="L17" t="str">
        <f>((M17/1000)*(1000-((T17+S17)/2)))/(T17-S17)</f>
        <v>0.002623</v>
      </c>
      <c r="M17" t="str">
        <f>(AN17*(S17-R17))/(100*U17*(1000-S17))*1000</f>
        <v>0.034942</v>
      </c>
      <c r="N17" t="str">
        <v>1.153366</v>
      </c>
      <c r="O17" t="str">
        <v>1.028021</v>
      </c>
      <c r="P17" t="str">
        <f>0.61365*EXP((17.502*AL17)/(240.97+AL17))</f>
        <v>2.370812</v>
      </c>
      <c r="Q17" t="str">
        <f>P17-N17</f>
        <v>1.217447</v>
      </c>
      <c r="R17" t="str">
        <v>11.034410</v>
      </c>
      <c r="S17" t="str">
        <v>12.379818</v>
      </c>
      <c r="T17" t="str">
        <f>(P17/AM17)*1000</f>
        <v>25.447458</v>
      </c>
      <c r="U17" t="str">
        <f>V17*BG17</f>
        <v>0.441786</v>
      </c>
      <c r="V17" t="str">
        <v>7.500000</v>
      </c>
      <c r="W17" t="str">
        <v>PSF-01031_20251213223954_f44</v>
      </c>
      <c r="X17" t="str">
        <v>92.841980</v>
      </c>
      <c r="Y17" t="str">
        <v>444.233185</v>
      </c>
      <c r="Z17" t="str">
        <v>0.791006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1.641201</v>
      </c>
      <c r="AG17" t="str">
        <v>1.000000</v>
      </c>
      <c r="AH17" t="str">
        <v>43.94</v>
      </c>
      <c r="AI17" t="str">
        <v>39.16</v>
      </c>
      <c r="AJ17" t="str">
        <v>21.82</v>
      </c>
      <c r="AK17" t="str">
        <v>20.17</v>
      </c>
      <c r="AL17" t="str">
        <f>(AK17-AJ17)*(AJ17*0+0)+AK17</f>
        <v>20.17</v>
      </c>
      <c r="AM17" t="str">
        <v>93.17</v>
      </c>
      <c r="AN17" t="str">
        <v>1.1</v>
      </c>
      <c r="AO17" t="str">
        <v>-15.8</v>
      </c>
      <c r="AP17" t="str">
        <v>1498.7</v>
      </c>
      <c r="AQ17" t="str">
        <v>5</v>
      </c>
      <c r="AR17" t="str">
        <v>3.863</v>
      </c>
      <c r="AS17" t="str">
        <v>22:31:36</v>
      </c>
      <c r="AT17" t="str">
        <v>2025-12-13</v>
      </c>
      <c r="AU17" t="str">
        <v>5.38</v>
      </c>
      <c r="AV17" t="str">
        <v>1</v>
      </c>
      <c r="AW17" t="str">
        <v>0.000</v>
      </c>
      <c r="AX17" t="str">
        <v>0.000</v>
      </c>
      <c r="AY17" t="str">
        <v>0.002</v>
      </c>
      <c r="AZ17" t="str">
        <v>-0.160</v>
      </c>
      <c r="BA17" t="str">
        <v>0.038</v>
      </c>
      <c r="BB17" t="str">
        <v>0.321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8000</v>
      </c>
      <c r="BQ17" t="str">
        <v>5</v>
      </c>
      <c r="BR17" t="str">
        <v>-9999.000000</v>
      </c>
      <c r="BS17" t="str">
        <v>-9999.000000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2.471844</v>
      </c>
      <c r="CD17" t="str">
        <v>2.437280</v>
      </c>
      <c r="CE17" t="str">
        <v>0.606898</v>
      </c>
      <c r="CF17" t="str">
        <v>0.572712</v>
      </c>
      <c r="CG17" t="str">
        <v>0.309685</v>
      </c>
      <c r="CH17" t="str">
        <v>-0.017625</v>
      </c>
      <c r="CI17" t="str">
        <v>0.104123</v>
      </c>
      <c r="CJ17" t="str">
        <v>0.111533</v>
      </c>
      <c r="CK17" t="str">
        <v>92.841980</v>
      </c>
      <c r="CL17" t="str">
        <v>0.000215</v>
      </c>
      <c r="CM17" t="str">
        <v>2.405086</v>
      </c>
      <c r="CN17" t="str">
        <v>0.000013</v>
      </c>
      <c r="CO17" t="str">
        <v>1.000000</v>
      </c>
      <c r="CP17" t="str">
        <v>2.372866</v>
      </c>
      <c r="CQ17" t="str">
        <v>0.000011</v>
      </c>
      <c r="CR17" t="str">
        <v>1.000000</v>
      </c>
      <c r="CS17" t="str">
        <v>0.601157</v>
      </c>
      <c r="CT17" t="str">
        <v>0.601293</v>
      </c>
      <c r="CU17" t="str">
        <v>0.106749</v>
      </c>
      <c r="CV17" t="str">
        <v>0.000000</v>
      </c>
      <c r="CW17" t="str">
        <v>PSF-01031_20251213223954_f44</v>
      </c>
      <c r="CX17" t="str">
        <v>PFA-00872</v>
      </c>
      <c r="CY17" t="str">
        <v>PSA-00872</v>
      </c>
      <c r="CZ17" t="str">
        <v>PSF-01031</v>
      </c>
      <c r="DA17" t="str">
        <v>RHS-0785</v>
      </c>
      <c r="DB17" t="str">
        <v>3.0.0</v>
      </c>
      <c r="DC17" t="str">
        <v>2025-07-31T17:03:34.552Z</v>
      </c>
    </row>
    <row r="18">
      <c r="A18" t="str">
        <v>15</v>
      </c>
      <c r="B18" t="str">
        <v>22:40:19</v>
      </c>
      <c r="C18" t="str">
        <v>2025-12-13</v>
      </c>
      <c r="D18" t="str">
        <v>FB_Fl_Dark_8k</v>
      </c>
      <c r="E18" t="str">
        <v>Fern</v>
      </c>
      <c r="F18" t="str">
        <v/>
      </c>
      <c r="G18" t="str">
        <v/>
      </c>
      <c r="H18" t="str">
        <v/>
      </c>
      <c r="I18" t="str">
        <v/>
      </c>
      <c r="J18" t="str">
        <f>1/((1/L18)-(1/K18))</f>
        <v>0.000716</v>
      </c>
      <c r="K18" t="str">
        <f>BH18+(BI18*AN18)+(BJ18*AN18*POWER(V18,2))+(BK18*AN18*V18)+(BL18*POWER(AN18,2))</f>
        <v>0.034545</v>
      </c>
      <c r="L18" t="str">
        <f>((M18/1000)*(1000-((T18+S18)/2)))/(T18-S18)</f>
        <v>0.000702</v>
      </c>
      <c r="M18" t="str">
        <f>(AN18*(S18-R18))/(100*U18*(1000-S18))*1000</f>
        <v>0.011804</v>
      </c>
      <c r="N18" t="str">
        <v>1.074262</v>
      </c>
      <c r="O18" t="str">
        <v>1.033736</v>
      </c>
      <c r="P18" t="str">
        <f>0.61365*EXP((17.502*AL18)/(240.97+AL18))</f>
        <v>2.610503</v>
      </c>
      <c r="Q18" t="str">
        <f>P18-N18</f>
        <v>1.536240</v>
      </c>
      <c r="R18" t="str">
        <v>11.095251</v>
      </c>
      <c r="S18" t="str">
        <v>11.530226</v>
      </c>
      <c r="T18" t="str">
        <f>(P18/AM18)*1000</f>
        <v>28.018930</v>
      </c>
      <c r="U18" t="str">
        <f>V18*BG18</f>
        <v>0.441786</v>
      </c>
      <c r="V18" t="str">
        <v>7.500000</v>
      </c>
      <c r="W18" t="str">
        <v>PSF-01031_20251213224019_04e</v>
      </c>
      <c r="X18" t="str">
        <v>52.767635</v>
      </c>
      <c r="Y18" t="str">
        <v>110.787750</v>
      </c>
      <c r="Z18" t="str">
        <v>0.523705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1.090010</v>
      </c>
      <c r="AG18" t="str">
        <v>1.000000</v>
      </c>
      <c r="AH18" t="str">
        <v>40.73</v>
      </c>
      <c r="AI18" t="str">
        <v>39.19</v>
      </c>
      <c r="AJ18" t="str">
        <v>21.90</v>
      </c>
      <c r="AK18" t="str">
        <v>21.73</v>
      </c>
      <c r="AL18" t="str">
        <f>(AK18-AJ18)*(AJ18*0+0)+AK18</f>
        <v>21.73</v>
      </c>
      <c r="AM18" t="str">
        <v>93.17</v>
      </c>
      <c r="AN18" t="str">
        <v>1.2</v>
      </c>
      <c r="AO18" t="str">
        <v>-16.1</v>
      </c>
      <c r="AP18" t="str">
        <v>1461.8</v>
      </c>
      <c r="AQ18" t="str">
        <v>5</v>
      </c>
      <c r="AR18" t="str">
        <v>3.863</v>
      </c>
      <c r="AS18" t="str">
        <v>22:31:36</v>
      </c>
      <c r="AT18" t="str">
        <v>2025-12-13</v>
      </c>
      <c r="AU18" t="str">
        <v>5.38</v>
      </c>
      <c r="AV18" t="str">
        <v>1</v>
      </c>
      <c r="AW18" t="str">
        <v>0.000</v>
      </c>
      <c r="AX18" t="str">
        <v>-0.000</v>
      </c>
      <c r="AY18" t="str">
        <v>-0.000</v>
      </c>
      <c r="AZ18" t="str">
        <v>0.108</v>
      </c>
      <c r="BA18" t="str">
        <v>0.101</v>
      </c>
      <c r="BB18" t="str">
        <v>0.037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8000</v>
      </c>
      <c r="BQ18" t="str">
        <v>5</v>
      </c>
      <c r="BR18" t="str">
        <v>-9999.000000</v>
      </c>
      <c r="BS18" t="str">
        <v>-9999.000000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2.471874</v>
      </c>
      <c r="CD18" t="str">
        <v>2.432638</v>
      </c>
      <c r="CE18" t="str">
        <v>0.607162</v>
      </c>
      <c r="CF18" t="str">
        <v>0.572197</v>
      </c>
      <c r="CG18" t="str">
        <v>0.308706</v>
      </c>
      <c r="CH18" t="str">
        <v>-0.000951</v>
      </c>
      <c r="CI18" t="str">
        <v>0.106728</v>
      </c>
      <c r="CJ18" t="str">
        <v>0.111548</v>
      </c>
      <c r="CK18" t="str">
        <v>52.767635</v>
      </c>
      <c r="CL18" t="str">
        <v>0.000211</v>
      </c>
      <c r="CM18" t="str">
        <v>2.405086</v>
      </c>
      <c r="CN18" t="str">
        <v>0.000013</v>
      </c>
      <c r="CO18" t="str">
        <v>1.000000</v>
      </c>
      <c r="CP18" t="str">
        <v>2.372866</v>
      </c>
      <c r="CQ18" t="str">
        <v>0.000011</v>
      </c>
      <c r="CR18" t="str">
        <v>1.000000</v>
      </c>
      <c r="CS18" t="str">
        <v>0.601157</v>
      </c>
      <c r="CT18" t="str">
        <v>0.601293</v>
      </c>
      <c r="CU18" t="str">
        <v>0.106749</v>
      </c>
      <c r="CV18" t="str">
        <v>0.000000</v>
      </c>
      <c r="CW18" t="str">
        <v>PSF-01031_20251213224019_04e</v>
      </c>
      <c r="CX18" t="str">
        <v>PFA-00872</v>
      </c>
      <c r="CY18" t="str">
        <v>PSA-00872</v>
      </c>
      <c r="CZ18" t="str">
        <v>PSF-01031</v>
      </c>
      <c r="DA18" t="str">
        <v>RHS-0785</v>
      </c>
      <c r="DB18" t="str">
        <v>3.0.0</v>
      </c>
      <c r="DC18" t="str">
        <v>2025-07-31T17:03:34.552Z</v>
      </c>
    </row>
    <row r="19">
      <c r="A19" t="str">
        <v>16</v>
      </c>
      <c r="B19" t="str">
        <v>22:40:44</v>
      </c>
      <c r="C19" t="str">
        <v>2025-12-13</v>
      </c>
      <c r="D19" t="str">
        <v>FB_Fl_Dark_8k</v>
      </c>
      <c r="E19" t="str">
        <v>Fern</v>
      </c>
      <c r="F19" t="str">
        <v/>
      </c>
      <c r="G19" t="str">
        <v/>
      </c>
      <c r="H19" t="str">
        <v/>
      </c>
      <c r="I19" t="str">
        <v/>
      </c>
      <c r="J19" t="str">
        <f>1/((1/L19)-(1/K19))</f>
        <v>0.000990</v>
      </c>
      <c r="K19" t="str">
        <f>BH19+(BI19*AN19)+(BJ19*AN19*POWER(V19,2))+(BK19*AN19*V19)+(BL19*POWER(AN19,2))</f>
        <v>0.034648</v>
      </c>
      <c r="L19" t="str">
        <f>((M19/1000)*(1000-((T19+S19)/2)))/(T19-S19)</f>
        <v>0.000962</v>
      </c>
      <c r="M19" t="str">
        <f>(AN19*(S19-R19))/(100*U19*(1000-S19))*1000</f>
        <v>0.013903</v>
      </c>
      <c r="N19" t="str">
        <v>1.086655</v>
      </c>
      <c r="O19" t="str">
        <v>1.039068</v>
      </c>
      <c r="P19" t="str">
        <f>0.61365*EXP((17.502*AL19)/(240.97+AL19))</f>
        <v>2.407917</v>
      </c>
      <c r="Q19" t="str">
        <f>P19-N19</f>
        <v>1.321262</v>
      </c>
      <c r="R19" t="str">
        <v>11.152151</v>
      </c>
      <c r="S19" t="str">
        <v>11.662890</v>
      </c>
      <c r="T19" t="str">
        <f>(P19/AM19)*1000</f>
        <v>25.843779</v>
      </c>
      <c r="U19" t="str">
        <f>V19*BG19</f>
        <v>0.441786</v>
      </c>
      <c r="V19" t="str">
        <v>7.500000</v>
      </c>
      <c r="W19" t="str">
        <v>PSF-01031_20251213224044_9e0</v>
      </c>
      <c r="X19" t="str">
        <v>79.776047</v>
      </c>
      <c r="Y19" t="str">
        <v>367.407562</v>
      </c>
      <c r="Z19" t="str">
        <v>0.782868</v>
      </c>
      <c r="AA19" t="str">
        <v>0.000000</v>
      </c>
      <c r="AB19" t="str">
        <v>0.000000</v>
      </c>
      <c r="AC19" t="str">
        <v>0.000000</v>
      </c>
      <c r="AD19" t="str">
        <v>0.5</v>
      </c>
      <c r="AE19" t="str">
        <v>0.80</v>
      </c>
      <c r="AF19" t="str">
        <f>AC19*AD19*AE19*AQ19</f>
        <v>0.439245</v>
      </c>
      <c r="AG19" t="str">
        <v>1.000000</v>
      </c>
      <c r="AH19" t="str">
        <v>41.00</v>
      </c>
      <c r="AI19" t="str">
        <v>39.20</v>
      </c>
      <c r="AJ19" t="str">
        <v>21.98</v>
      </c>
      <c r="AK19" t="str">
        <v>20.42</v>
      </c>
      <c r="AL19" t="str">
        <f>(AK19-AJ19)*(AJ19*0+0)+AK19</f>
        <v>20.42</v>
      </c>
      <c r="AM19" t="str">
        <v>93.17</v>
      </c>
      <c r="AN19" t="str">
        <v>1.2</v>
      </c>
      <c r="AO19" t="str">
        <v>-16.2</v>
      </c>
      <c r="AP19" t="str">
        <v>1461.8</v>
      </c>
      <c r="AQ19" t="str">
        <v>1</v>
      </c>
      <c r="AR19" t="str">
        <v>3.861</v>
      </c>
      <c r="AS19" t="str">
        <v>22:31:36</v>
      </c>
      <c r="AT19" t="str">
        <v>2025-12-13</v>
      </c>
      <c r="AU19" t="str">
        <v>5.38</v>
      </c>
      <c r="AV19" t="str">
        <v>1</v>
      </c>
      <c r="AW19" t="str">
        <v>-0.000</v>
      </c>
      <c r="AX19" t="str">
        <v>0.000</v>
      </c>
      <c r="AY19" t="str">
        <v>0.001</v>
      </c>
      <c r="AZ19" t="str">
        <v>-0.288</v>
      </c>
      <c r="BA19" t="str">
        <v>-0.534</v>
      </c>
      <c r="BB19" t="str">
        <v>0.583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1</v>
      </c>
      <c r="BO19" t="str">
        <v>rectangular</v>
      </c>
      <c r="BP19" t="str">
        <v>8000</v>
      </c>
      <c r="BQ19" t="str">
        <v>5</v>
      </c>
      <c r="BR19" t="str">
        <v>-9999.000000</v>
      </c>
      <c r="BS19" t="str">
        <v>-9999.000000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2.471879</v>
      </c>
      <c r="CD19" t="str">
        <v>2.433019</v>
      </c>
      <c r="CE19" t="str">
        <v>0.607180</v>
      </c>
      <c r="CF19" t="str">
        <v>0.572112</v>
      </c>
      <c r="CG19" t="str">
        <v>0.307724</v>
      </c>
      <c r="CH19" t="str">
        <v>-0.016625</v>
      </c>
      <c r="CI19" t="str">
        <v>0.109335</v>
      </c>
      <c r="CJ19" t="str">
        <v>0.108043</v>
      </c>
      <c r="CK19" t="str">
        <v>79.776047</v>
      </c>
      <c r="CL19" t="str">
        <v>0.000216</v>
      </c>
      <c r="CM19" t="str">
        <v>2.405086</v>
      </c>
      <c r="CN19" t="str">
        <v>0.000013</v>
      </c>
      <c r="CO19" t="str">
        <v>1.000000</v>
      </c>
      <c r="CP19" t="str">
        <v>2.372866</v>
      </c>
      <c r="CQ19" t="str">
        <v>0.000011</v>
      </c>
      <c r="CR19" t="str">
        <v>1.000000</v>
      </c>
      <c r="CS19" t="str">
        <v>0.601157</v>
      </c>
      <c r="CT19" t="str">
        <v>0.601293</v>
      </c>
      <c r="CU19" t="str">
        <v>0.106749</v>
      </c>
      <c r="CV19" t="str">
        <v>0.000000</v>
      </c>
      <c r="CW19" t="str">
        <v>PSF-01031_20251213224044_9e0</v>
      </c>
      <c r="CX19" t="str">
        <v>PFA-00872</v>
      </c>
      <c r="CY19" t="str">
        <v>PSA-00872</v>
      </c>
      <c r="CZ19" t="str">
        <v>PSF-01031</v>
      </c>
      <c r="DA19" t="str">
        <v>RHS-0785</v>
      </c>
      <c r="DB19" t="str">
        <v>3.0.0</v>
      </c>
      <c r="DC19" t="str">
        <v>2025-07-31T17:03:34.552Z</v>
      </c>
    </row>
    <row r="20">
      <c r="A20" t="str">
        <v>17</v>
      </c>
      <c r="B20" t="str">
        <v>22:41:10</v>
      </c>
      <c r="C20" t="str">
        <v>2025-12-13</v>
      </c>
      <c r="D20" t="str">
        <v>FB_Fl_Dark_8k</v>
      </c>
      <c r="E20" t="str">
        <v>Fern</v>
      </c>
      <c r="F20" t="str">
        <v/>
      </c>
      <c r="G20" t="str">
        <v/>
      </c>
      <c r="H20" t="str">
        <v/>
      </c>
      <c r="I20" t="str">
        <v/>
      </c>
      <c r="J20" t="str">
        <f>1/((1/L20)-(1/K20))</f>
        <v>0.001205</v>
      </c>
      <c r="K20" t="str">
        <f>BH20+(BI20*AN20)+(BJ20*AN20*POWER(V20,2))+(BK20*AN20*V20)+(BL20*POWER(AN20,2))</f>
        <v>0.035589</v>
      </c>
      <c r="L20" t="str">
        <f>((M20/1000)*(1000-((T20+S20)/2)))/(T20-S20)</f>
        <v>0.001166</v>
      </c>
      <c r="M20" t="str">
        <f>(AN20*(S20-R20))/(100*U20*(1000-S20))*1000</f>
        <v>0.018304</v>
      </c>
      <c r="N20" t="str">
        <v>1.105904</v>
      </c>
      <c r="O20" t="str">
        <v>1.044927</v>
      </c>
      <c r="P20" t="str">
        <f>0.61365*EXP((17.502*AL20)/(240.97+AL20))</f>
        <v>2.540229</v>
      </c>
      <c r="Q20" t="str">
        <f>P20-N20</f>
        <v>1.434326</v>
      </c>
      <c r="R20" t="str">
        <v>11.214249</v>
      </c>
      <c r="S20" t="str">
        <v>11.868658</v>
      </c>
      <c r="T20" t="str">
        <f>(P20/AM20)*1000</f>
        <v>27.261969</v>
      </c>
      <c r="U20" t="str">
        <f>V20*BG20</f>
        <v>0.441786</v>
      </c>
      <c r="V20" t="str">
        <v>7.500000</v>
      </c>
      <c r="W20" t="str">
        <v>PSF-01031_20251213224110_2e6</v>
      </c>
      <c r="X20" t="str">
        <v>118.379829</v>
      </c>
      <c r="Y20" t="str">
        <v>174.829239</v>
      </c>
      <c r="Z20" t="str">
        <v>0.322883</v>
      </c>
      <c r="AA20" t="str">
        <v>0.000000</v>
      </c>
      <c r="AB20" t="str">
        <v>0.000000</v>
      </c>
      <c r="AC20" t="str">
        <v>0.000000</v>
      </c>
      <c r="AD20" t="str">
        <v>0.5</v>
      </c>
      <c r="AE20" t="str">
        <v>0.80</v>
      </c>
      <c r="AF20" t="str">
        <f>AC20*AD20*AE20*AQ20</f>
        <v>0.679042</v>
      </c>
      <c r="AG20" t="str">
        <v>1.000000</v>
      </c>
      <c r="AH20" t="str">
        <v>41.52</v>
      </c>
      <c r="AI20" t="str">
        <v>39.23</v>
      </c>
      <c r="AJ20" t="str">
        <v>22.06</v>
      </c>
      <c r="AK20" t="str">
        <v>21.29</v>
      </c>
      <c r="AL20" t="str">
        <f>(AK20-AJ20)*(AJ20*0+0)+AK20</f>
        <v>21.29</v>
      </c>
      <c r="AM20" t="str">
        <v>93.18</v>
      </c>
      <c r="AN20" t="str">
        <v>1.2</v>
      </c>
      <c r="AO20" t="str">
        <v>-17.3</v>
      </c>
      <c r="AP20" t="str">
        <v>1516.6</v>
      </c>
      <c r="AQ20" t="str">
        <v>5</v>
      </c>
      <c r="AR20" t="str">
        <v>3.860</v>
      </c>
      <c r="AS20" t="str">
        <v>22:31:36</v>
      </c>
      <c r="AT20" t="str">
        <v>2025-12-13</v>
      </c>
      <c r="AU20" t="str">
        <v>5.38</v>
      </c>
      <c r="AV20" t="str">
        <v>1</v>
      </c>
      <c r="AW20" t="str">
        <v>0.000</v>
      </c>
      <c r="AX20" t="str">
        <v>0.000</v>
      </c>
      <c r="AY20" t="str">
        <v>0.000</v>
      </c>
      <c r="AZ20" t="str">
        <v>0.335</v>
      </c>
      <c r="BA20" t="str">
        <v>0.156</v>
      </c>
      <c r="BB20" t="str">
        <v>0.561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1</v>
      </c>
      <c r="BO20" t="str">
        <v>rectangular</v>
      </c>
      <c r="BP20" t="str">
        <v>8000</v>
      </c>
      <c r="BQ20" t="str">
        <v>5</v>
      </c>
      <c r="BR20" t="str">
        <v>-9999.000000</v>
      </c>
      <c r="BS20" t="str">
        <v>-9999.000000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2.471900</v>
      </c>
      <c r="CD20" t="str">
        <v>2.433756</v>
      </c>
      <c r="CE20" t="str">
        <v>0.607344</v>
      </c>
      <c r="CF20" t="str">
        <v>0.570136</v>
      </c>
      <c r="CG20" t="str">
        <v>0.306711</v>
      </c>
      <c r="CH20" t="str">
        <v>-0.007822</v>
      </c>
      <c r="CI20" t="str">
        <v>0.112070</v>
      </c>
      <c r="CJ20" t="str">
        <v>0.111598</v>
      </c>
      <c r="CK20" t="str">
        <v>118.379829</v>
      </c>
      <c r="CL20" t="str">
        <v>0.000211</v>
      </c>
      <c r="CM20" t="str">
        <v>2.405086</v>
      </c>
      <c r="CN20" t="str">
        <v>0.000013</v>
      </c>
      <c r="CO20" t="str">
        <v>1.000000</v>
      </c>
      <c r="CP20" t="str">
        <v>2.372866</v>
      </c>
      <c r="CQ20" t="str">
        <v>0.000011</v>
      </c>
      <c r="CR20" t="str">
        <v>1.000000</v>
      </c>
      <c r="CS20" t="str">
        <v>0.601157</v>
      </c>
      <c r="CT20" t="str">
        <v>0.601293</v>
      </c>
      <c r="CU20" t="str">
        <v>0.106749</v>
      </c>
      <c r="CV20" t="str">
        <v>0.000000</v>
      </c>
      <c r="CW20" t="str">
        <v>PSF-01031_20251213224110_2e6</v>
      </c>
      <c r="CX20" t="str">
        <v>PFA-00872</v>
      </c>
      <c r="CY20" t="str">
        <v>PSA-00872</v>
      </c>
      <c r="CZ20" t="str">
        <v>PSF-01031</v>
      </c>
      <c r="DA20" t="str">
        <v>RHS-0785</v>
      </c>
      <c r="DB20" t="str">
        <v>3.0.0</v>
      </c>
      <c r="DC20" t="str">
        <v>2025-07-31T17:03:34.552Z</v>
      </c>
    </row>
    <row r="21">
      <c r="A21" t="str">
        <v>18</v>
      </c>
      <c r="B21" t="str">
        <v>22:41:54</v>
      </c>
      <c r="C21" t="str">
        <v>2025-12-13</v>
      </c>
      <c r="D21" t="str">
        <v>FB_Fl_Dark_8k</v>
      </c>
      <c r="E21" t="str">
        <v>Fern</v>
      </c>
      <c r="F21" t="str">
        <v/>
      </c>
      <c r="G21" t="str">
        <v/>
      </c>
      <c r="H21" t="str">
        <v/>
      </c>
      <c r="I21" t="str">
        <v/>
      </c>
      <c r="J21" t="str">
        <f>1/((1/L21)-(1/K21))</f>
        <v>0.003502</v>
      </c>
      <c r="K21" t="str">
        <f>BH21+(BI21*AN21)+(BJ21*AN21*POWER(V21,2))+(BK21*AN21*V21)+(BL21*POWER(AN21,2))</f>
        <v>0.034987</v>
      </c>
      <c r="L21" t="str">
        <f>((M21/1000)*(1000-((T21+S21)/2)))/(T21-S21)</f>
        <v>0.003183</v>
      </c>
      <c r="M21" t="str">
        <f>(AN21*(S21-R21))/(100*U21*(1000-S21))*1000</f>
        <v>0.045274</v>
      </c>
      <c r="N21" t="str">
        <v>1.207854</v>
      </c>
      <c r="O21" t="str">
        <v>1.054599</v>
      </c>
      <c r="P21" t="str">
        <f>0.61365*EXP((17.502*AL21)/(240.97+AL21))</f>
        <v>2.506604</v>
      </c>
      <c r="Q21" t="str">
        <f>P21-N21</f>
        <v>1.298749</v>
      </c>
      <c r="R21" t="str">
        <v>11.318205</v>
      </c>
      <c r="S21" t="str">
        <v>12.962974</v>
      </c>
      <c r="T21" t="str">
        <f>(P21/AM21)*1000</f>
        <v>26.901455</v>
      </c>
      <c r="U21" t="str">
        <f>V21*BG21</f>
        <v>0.441786</v>
      </c>
      <c r="V21" t="str">
        <v>7.500000</v>
      </c>
      <c r="W21" t="str">
        <v>PSF-01031_20251213224154_24c</v>
      </c>
      <c r="X21" t="str">
        <v>98.072647</v>
      </c>
      <c r="Y21" t="str">
        <v>492.539764</v>
      </c>
      <c r="Z21" t="str">
        <v>0.800884</v>
      </c>
      <c r="AA21" t="str">
        <v>0.000000</v>
      </c>
      <c r="AB21" t="str">
        <v>0.000000</v>
      </c>
      <c r="AC21" t="str">
        <v>0.000000</v>
      </c>
      <c r="AD21" t="str">
        <v>0.5</v>
      </c>
      <c r="AE21" t="str">
        <v>0.80</v>
      </c>
      <c r="AF21" t="str">
        <f>AC21*AD21*AE21*AQ21</f>
        <v>1.449266</v>
      </c>
      <c r="AG21" t="str">
        <v>1.000000</v>
      </c>
      <c r="AH21" t="str">
        <v>44.94</v>
      </c>
      <c r="AI21" t="str">
        <v>39.24</v>
      </c>
      <c r="AJ21" t="str">
        <v>22.21</v>
      </c>
      <c r="AK21" t="str">
        <v>21.07</v>
      </c>
      <c r="AL21" t="str">
        <f>(AK21-AJ21)*(AJ21*0+0)+AK21</f>
        <v>21.07</v>
      </c>
      <c r="AM21" t="str">
        <v>93.18</v>
      </c>
      <c r="AN21" t="str">
        <v>1.2</v>
      </c>
      <c r="AO21" t="str">
        <v>-15.7</v>
      </c>
      <c r="AP21" t="str">
        <v>1408.9</v>
      </c>
      <c r="AQ21" t="str">
        <v>5</v>
      </c>
      <c r="AR21" t="str">
        <v>3.859</v>
      </c>
      <c r="AS21" t="str">
        <v>22:31:36</v>
      </c>
      <c r="AT21" t="str">
        <v>2025-12-13</v>
      </c>
      <c r="AU21" t="str">
        <v>5.38</v>
      </c>
      <c r="AV21" t="str">
        <v>1</v>
      </c>
      <c r="AW21" t="str">
        <v>-0.000</v>
      </c>
      <c r="AX21" t="str">
        <v>-0.000</v>
      </c>
      <c r="AY21" t="str">
        <v>0.000</v>
      </c>
      <c r="AZ21" t="str">
        <v>0.259</v>
      </c>
      <c r="BA21" t="str">
        <v>0.385</v>
      </c>
      <c r="BB21" t="str">
        <v>0.823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1</v>
      </c>
      <c r="BO21" t="str">
        <v>rectangular</v>
      </c>
      <c r="BP21" t="str">
        <v>8000</v>
      </c>
      <c r="BQ21" t="str">
        <v>5</v>
      </c>
      <c r="BR21" t="str">
        <v>-9999.000000</v>
      </c>
      <c r="BS21" t="str">
        <v>-9999.000000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2.471899</v>
      </c>
      <c r="CD21" t="str">
        <v>2.438651</v>
      </c>
      <c r="CE21" t="str">
        <v>0.607239</v>
      </c>
      <c r="CF21" t="str">
        <v>0.572959</v>
      </c>
      <c r="CG21" t="str">
        <v>0.304930</v>
      </c>
      <c r="CH21" t="str">
        <v>-0.011917</v>
      </c>
      <c r="CI21" t="str">
        <v>0.116676</v>
      </c>
      <c r="CJ21" t="str">
        <v>0.110921</v>
      </c>
      <c r="CK21" t="str">
        <v>98.072647</v>
      </c>
      <c r="CL21" t="str">
        <v>0.000213</v>
      </c>
      <c r="CM21" t="str">
        <v>2.405086</v>
      </c>
      <c r="CN21" t="str">
        <v>0.000013</v>
      </c>
      <c r="CO21" t="str">
        <v>1.000000</v>
      </c>
      <c r="CP21" t="str">
        <v>2.372866</v>
      </c>
      <c r="CQ21" t="str">
        <v>0.000011</v>
      </c>
      <c r="CR21" t="str">
        <v>1.000000</v>
      </c>
      <c r="CS21" t="str">
        <v>0.601157</v>
      </c>
      <c r="CT21" t="str">
        <v>0.601293</v>
      </c>
      <c r="CU21" t="str">
        <v>0.106749</v>
      </c>
      <c r="CV21" t="str">
        <v>0.000000</v>
      </c>
      <c r="CW21" t="str">
        <v>PSF-01031_20251213224154_24c</v>
      </c>
      <c r="CX21" t="str">
        <v>PFA-00872</v>
      </c>
      <c r="CY21" t="str">
        <v>PSA-00872</v>
      </c>
      <c r="CZ21" t="str">
        <v>PSF-01031</v>
      </c>
      <c r="DA21" t="str">
        <v>RHS-0785</v>
      </c>
      <c r="DB21" t="str">
        <v>3.0.0</v>
      </c>
      <c r="DC21" t="str">
        <v>2025-07-31T17:03:34.552Z</v>
      </c>
    </row>
    <row r="22">
      <c r="A22" t="str">
        <v>19</v>
      </c>
      <c r="B22" t="str">
        <v>22:42:23</v>
      </c>
      <c r="C22" t="str">
        <v>2025-12-13</v>
      </c>
      <c r="D22" t="str">
        <v>FB_Fl_Dark_8k</v>
      </c>
      <c r="E22" t="str">
        <v>Fern</v>
      </c>
      <c r="F22" t="str">
        <v/>
      </c>
      <c r="G22" t="str">
        <v/>
      </c>
      <c r="H22" t="str">
        <v/>
      </c>
      <c r="I22" t="str">
        <v/>
      </c>
      <c r="J22" t="str">
        <f>1/((1/L22)-(1/K22))</f>
        <v>-0.000264</v>
      </c>
      <c r="K22" t="str">
        <f>BH22+(BI22*AN22)+(BJ22*AN22*POWER(V22,2))+(BK22*AN22*V22)+(BL22*POWER(AN22,2))</f>
        <v>0.034959</v>
      </c>
      <c r="L22" t="str">
        <f>((M22/1000)*(1000-((T22+S22)/2)))/(T22-S22)</f>
        <v>-0.000266</v>
      </c>
      <c r="M22" t="str">
        <f>(AN22*(S22-R22))/(100*U22*(1000-S22))*1000</f>
        <v>-0.004608</v>
      </c>
      <c r="N22" t="str">
        <v>1.046357</v>
      </c>
      <c r="O22" t="str">
        <v>1.061995</v>
      </c>
      <c r="P22" t="str">
        <f>0.61365*EXP((17.502*AL22)/(240.97+AL22))</f>
        <v>2.626724</v>
      </c>
      <c r="Q22" t="str">
        <f>P22-N22</f>
        <v>1.580367</v>
      </c>
      <c r="R22" t="str">
        <v>11.398063</v>
      </c>
      <c r="S22" t="str">
        <v>11.230225</v>
      </c>
      <c r="T22" t="str">
        <f>(P22/AM22)*1000</f>
        <v>28.191822</v>
      </c>
      <c r="U22" t="str">
        <f>V22*BG22</f>
        <v>0.441786</v>
      </c>
      <c r="V22" t="str">
        <v>7.500000</v>
      </c>
      <c r="W22" t="str">
        <v>PSF-01031_20251213224223_b38</v>
      </c>
      <c r="X22" t="str">
        <v>73.861244</v>
      </c>
      <c r="Y22" t="str">
        <v>96.475838</v>
      </c>
      <c r="Z22" t="str">
        <v>0.234407</v>
      </c>
      <c r="AA22" t="str">
        <v>0.000000</v>
      </c>
      <c r="AB22" t="str">
        <v>0.000000</v>
      </c>
      <c r="AC22" t="str">
        <v>0.000000</v>
      </c>
      <c r="AD22" t="str">
        <v>0.5</v>
      </c>
      <c r="AE22" t="str">
        <v>0.80</v>
      </c>
      <c r="AF22" t="str">
        <f>AC22*AD22*AE22*AQ22</f>
        <v>0.530749</v>
      </c>
      <c r="AG22" t="str">
        <v>1.000000</v>
      </c>
      <c r="AH22" t="str">
        <v>38.67</v>
      </c>
      <c r="AI22" t="str">
        <v>39.25</v>
      </c>
      <c r="AJ22" t="str">
        <v>22.32</v>
      </c>
      <c r="AK22" t="str">
        <v>21.83</v>
      </c>
      <c r="AL22" t="str">
        <f>(AK22-AJ22)*(AJ22*0+0)+AK22</f>
        <v>21.83</v>
      </c>
      <c r="AM22" t="str">
        <v>93.17</v>
      </c>
      <c r="AN22" t="str">
        <v>1.2</v>
      </c>
      <c r="AO22" t="str">
        <v>-16.2</v>
      </c>
      <c r="AP22" t="str">
        <v>1448.8</v>
      </c>
      <c r="AQ22" t="str">
        <v>6</v>
      </c>
      <c r="AR22" t="str">
        <v>3.857</v>
      </c>
      <c r="AS22" t="str">
        <v>22:42:15</v>
      </c>
      <c r="AT22" t="str">
        <v>2025-12-13</v>
      </c>
      <c r="AU22" t="str">
        <v>3.11</v>
      </c>
      <c r="AV22" t="str">
        <v>1</v>
      </c>
      <c r="AW22" t="str">
        <v>0.000</v>
      </c>
      <c r="AX22" t="str">
        <v>-0.000</v>
      </c>
      <c r="AY22" t="str">
        <v>-0.000</v>
      </c>
      <c r="AZ22" t="str">
        <v>0.025</v>
      </c>
      <c r="BA22" t="str">
        <v>0.096</v>
      </c>
      <c r="BB22" t="str">
        <v>-0.116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1</v>
      </c>
      <c r="BO22" t="str">
        <v>rectangular</v>
      </c>
      <c r="BP22" t="str">
        <v>8000</v>
      </c>
      <c r="BQ22" t="str">
        <v>5</v>
      </c>
      <c r="BR22" t="str">
        <v>-9999.000000</v>
      </c>
      <c r="BS22" t="str">
        <v>-9999.000000</v>
      </c>
      <c r="BT22" t="str">
        <v>55537</v>
      </c>
      <c r="BU22" t="str">
        <v>55537</v>
      </c>
      <c r="BV22" t="str">
        <v>55537</v>
      </c>
      <c r="BW22" t="str">
        <v>0.000000</v>
      </c>
      <c r="BX22" t="str">
        <v>-9999</v>
      </c>
      <c r="BY22" t="str">
        <v>0.000000</v>
      </c>
      <c r="BZ22" t="str">
        <v>0.000000</v>
      </c>
      <c r="CA22" t="str">
        <v>0.000000</v>
      </c>
      <c r="CB22" t="str">
        <v>0.000000</v>
      </c>
      <c r="CC22" t="str">
        <v>2.471889</v>
      </c>
      <c r="CD22" t="str">
        <v>2.432881</v>
      </c>
      <c r="CE22" t="str">
        <v>0.607234</v>
      </c>
      <c r="CF22" t="str">
        <v>0.572129</v>
      </c>
      <c r="CG22" t="str">
        <v>0.303559</v>
      </c>
      <c r="CH22" t="str">
        <v>-0.004588</v>
      </c>
      <c r="CI22" t="str">
        <v>0.119602</v>
      </c>
      <c r="CJ22" t="str">
        <v>0.111969</v>
      </c>
      <c r="CK22" t="str">
        <v>73.861244</v>
      </c>
      <c r="CL22" t="str">
        <v>0.000214</v>
      </c>
      <c r="CM22" t="str">
        <v>2.405086</v>
      </c>
      <c r="CN22" t="str">
        <v>0.000013</v>
      </c>
      <c r="CO22" t="str">
        <v>1.000000</v>
      </c>
      <c r="CP22" t="str">
        <v>2.372866</v>
      </c>
      <c r="CQ22" t="str">
        <v>0.000011</v>
      </c>
      <c r="CR22" t="str">
        <v>1.000000</v>
      </c>
      <c r="CS22" t="str">
        <v>0.601157</v>
      </c>
      <c r="CT22" t="str">
        <v>0.601293</v>
      </c>
      <c r="CU22" t="str">
        <v>0.106749</v>
      </c>
      <c r="CV22" t="str">
        <v>0.000000</v>
      </c>
      <c r="CW22" t="str">
        <v>PSF-01031_20251213224223_b38</v>
      </c>
      <c r="CX22" t="str">
        <v>PFA-00872</v>
      </c>
      <c r="CY22" t="str">
        <v>PSA-00872</v>
      </c>
      <c r="CZ22" t="str">
        <v>PSF-01031</v>
      </c>
      <c r="DA22" t="str">
        <v>RHS-0785</v>
      </c>
      <c r="DB22" t="str">
        <v>3.0.0</v>
      </c>
      <c r="DC22" t="str">
        <v>2025-07-31T17:03:34.552Z</v>
      </c>
    </row>
  </sheetData>
  <ignoredErrors>
    <ignoredError numberStoredAsText="1" sqref="A1:D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FB_Fl_Dark_8k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