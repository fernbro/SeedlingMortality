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22:32:33</v>
      </c>
      <c r="C4" t="str">
        <v>2026-01-10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-0.000356</v>
      </c>
      <c r="K4" t="str">
        <f>BH4+(BI4*AN4)+(BJ4*AN4*POWER(V4,2))+(BK4*AN4*V4)+(BL4*POWER(AN4,2))</f>
        <v>0.041045</v>
      </c>
      <c r="L4" t="str">
        <f>((M4/1000)*(1000-((T4+S4)/2)))/(T4-S4)</f>
        <v>-0.000359</v>
      </c>
      <c r="M4" t="str">
        <f>(AN4*(S4-R4))/(100*U4*(1000-S4))*1000</f>
        <v>-0.005473</v>
      </c>
      <c r="N4" t="str">
        <v>0.761239</v>
      </c>
      <c r="O4" t="str">
        <v>0.777220</v>
      </c>
      <c r="P4" t="str">
        <f>0.61365*EXP((17.502*AL4)/(240.97+AL4))</f>
        <v>2.168390</v>
      </c>
      <c r="Q4" t="str">
        <f>P4-N4</f>
        <v>1.407152</v>
      </c>
      <c r="R4" t="str">
        <v>8.278429</v>
      </c>
      <c r="S4" t="str">
        <v>8.108201</v>
      </c>
      <c r="T4" t="str">
        <f>(P4/AM4)*1000</f>
        <v>23.096237</v>
      </c>
      <c r="U4" t="str">
        <f>V4*BG4</f>
        <v>0.441786</v>
      </c>
      <c r="V4" t="str">
        <v>7.500000</v>
      </c>
      <c r="W4" t="str">
        <v>PSF-01031_20260110223233_f08</v>
      </c>
      <c r="X4" t="str">
        <v>90.900421</v>
      </c>
      <c r="Y4" t="str">
        <v>475.313904</v>
      </c>
      <c r="Z4" t="str">
        <v>0.808757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1.217507</v>
      </c>
      <c r="AG4" t="str">
        <v>1.000000</v>
      </c>
      <c r="AH4" t="str">
        <v>36.13</v>
      </c>
      <c r="AI4" t="str">
        <v>36.89</v>
      </c>
      <c r="AJ4" t="str">
        <v>18.27</v>
      </c>
      <c r="AK4" t="str">
        <v>18.73</v>
      </c>
      <c r="AL4" t="str">
        <f>(AK4-AJ4)*(AJ4*0+0)+AK4</f>
        <v>18.73</v>
      </c>
      <c r="AM4" t="str">
        <v>93.89</v>
      </c>
      <c r="AN4" t="str">
        <v>1.4</v>
      </c>
      <c r="AO4" t="str">
        <v>-19.0</v>
      </c>
      <c r="AP4" t="str">
        <v>1451.6</v>
      </c>
      <c r="AQ4" t="str">
        <v>4</v>
      </c>
      <c r="AR4" t="str">
        <v>3.718</v>
      </c>
      <c r="AS4" t="str">
        <v>22:31:25</v>
      </c>
      <c r="AT4" t="str">
        <v>2026-01-10</v>
      </c>
      <c r="AU4" t="str">
        <v>11.52</v>
      </c>
      <c r="AV4" t="str">
        <v>1</v>
      </c>
      <c r="AW4" t="str">
        <v>-0.000</v>
      </c>
      <c r="AX4" t="str">
        <v>0.000</v>
      </c>
      <c r="AY4" t="str">
        <v>0.000</v>
      </c>
      <c r="AZ4" t="str">
        <v>0.081</v>
      </c>
      <c r="BA4" t="str">
        <v>-0.047</v>
      </c>
      <c r="BB4" t="str">
        <v>0.668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2.469001</v>
      </c>
      <c r="CD4" t="str">
        <v>2.416886</v>
      </c>
      <c r="CE4" t="str">
        <v>0.608298</v>
      </c>
      <c r="CF4" t="str">
        <v>0.567033</v>
      </c>
      <c r="CG4" t="str">
        <v>0.357151</v>
      </c>
      <c r="CH4" t="str">
        <v>0.006235</v>
      </c>
      <c r="CI4" t="str">
        <v>0.056729</v>
      </c>
      <c r="CJ4" t="str">
        <v>0.110220</v>
      </c>
      <c r="CK4" t="str">
        <v>90.900421</v>
      </c>
      <c r="CL4" t="str">
        <v>0.000208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PSF-01031_20260110223233_f08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22:33:32</v>
      </c>
      <c r="C5" t="str">
        <v>2026-01-10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-0.000504</v>
      </c>
      <c r="K5" t="str">
        <f>BH5+(BI5*AN5)+(BJ5*AN5*POWER(V5,2))+(BK5*AN5*V5)+(BL5*POWER(AN5,2))</f>
        <v>0.040757</v>
      </c>
      <c r="L5" t="str">
        <f>((M5/1000)*(1000-((T5+S5)/2)))/(T5-S5)</f>
        <v>-0.000510</v>
      </c>
      <c r="M5" t="str">
        <f>(AN5*(S5-R5))/(100*U5*(1000-S5))*1000</f>
        <v>-0.007695</v>
      </c>
      <c r="N5" t="str">
        <v>0.759828</v>
      </c>
      <c r="O5" t="str">
        <v>0.782461</v>
      </c>
      <c r="P5" t="str">
        <f>0.61365*EXP((17.502*AL5)/(240.97+AL5))</f>
        <v>2.154133</v>
      </c>
      <c r="Q5" t="str">
        <f>P5-N5</f>
        <v>1.394304</v>
      </c>
      <c r="R5" t="str">
        <v>8.334272</v>
      </c>
      <c r="S5" t="str">
        <v>8.093204</v>
      </c>
      <c r="T5" t="str">
        <f>(P5/AM5)*1000</f>
        <v>22.944435</v>
      </c>
      <c r="U5" t="str">
        <f>V5*BG5</f>
        <v>0.441786</v>
      </c>
      <c r="V5" t="str">
        <v>7.500000</v>
      </c>
      <c r="W5" t="str">
        <v>PSF-01031_20260110223332_d85</v>
      </c>
      <c r="X5" t="str">
        <v>86.121437</v>
      </c>
      <c r="Y5" t="str">
        <v>91.883537</v>
      </c>
      <c r="Z5" t="str">
        <v>0.062711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0.077703</v>
      </c>
      <c r="AG5" t="str">
        <v>1.000000</v>
      </c>
      <c r="AH5" t="str">
        <v>35.81</v>
      </c>
      <c r="AI5" t="str">
        <v>36.88</v>
      </c>
      <c r="AJ5" t="str">
        <v>18.38</v>
      </c>
      <c r="AK5" t="str">
        <v>18.63</v>
      </c>
      <c r="AL5" t="str">
        <f>(AK5-AJ5)*(AJ5*0+0)+AK5</f>
        <v>18.63</v>
      </c>
      <c r="AM5" t="str">
        <v>93.88</v>
      </c>
      <c r="AN5" t="str">
        <v>1.4</v>
      </c>
      <c r="AO5" t="str">
        <v>-18.4</v>
      </c>
      <c r="AP5" t="str">
        <v>1413.5</v>
      </c>
      <c r="AQ5" t="str">
        <v>3</v>
      </c>
      <c r="AR5" t="str">
        <v>3.712</v>
      </c>
      <c r="AS5" t="str">
        <v>22:31:25</v>
      </c>
      <c r="AT5" t="str">
        <v>2026-01-10</v>
      </c>
      <c r="AU5" t="str">
        <v>11.52</v>
      </c>
      <c r="AV5" t="str">
        <v>1</v>
      </c>
      <c r="AW5" t="str">
        <v>0.000</v>
      </c>
      <c r="AX5" t="str">
        <v>0.000</v>
      </c>
      <c r="AY5" t="str">
        <v>-0.000</v>
      </c>
      <c r="AZ5" t="str">
        <v>-0.027</v>
      </c>
      <c r="BA5" t="str">
        <v>0.265</v>
      </c>
      <c r="BB5" t="str">
        <v>0.276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2.468977</v>
      </c>
      <c r="CD5" t="str">
        <v>2.416384</v>
      </c>
      <c r="CE5" t="str">
        <v>0.608248</v>
      </c>
      <c r="CF5" t="str">
        <v>0.568220</v>
      </c>
      <c r="CG5" t="str">
        <v>0.355585</v>
      </c>
      <c r="CH5" t="str">
        <v>0.003861</v>
      </c>
      <c r="CI5" t="str">
        <v>0.064166</v>
      </c>
      <c r="CJ5" t="str">
        <v>0.109606</v>
      </c>
      <c r="CK5" t="str">
        <v>86.342453</v>
      </c>
      <c r="CL5" t="str">
        <v>0.000206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PSF-01031_20260110223332_d85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22:34:44</v>
      </c>
      <c r="C6" t="str">
        <v>2026-01-10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-0.000299</v>
      </c>
      <c r="K6" t="str">
        <f>BH6+(BI6*AN6)+(BJ6*AN6*POWER(V6,2))+(BK6*AN6*V6)+(BL6*POWER(AN6,2))</f>
        <v>0.033773</v>
      </c>
      <c r="L6" t="str">
        <f>((M6/1000)*(1000-((T6+S6)/2)))/(T6-S6)</f>
        <v>-0.000302</v>
      </c>
      <c r="M6" t="str">
        <f>(AN6*(S6-R6))/(100*U6*(1000-S6))*1000</f>
        <v>-0.004001</v>
      </c>
      <c r="N6" t="str">
        <v>0.777263</v>
      </c>
      <c r="O6" t="str">
        <v>0.791469</v>
      </c>
      <c r="P6" t="str">
        <f>0.61365*EXP((17.502*AL6)/(240.97+AL6))</f>
        <v>2.002735</v>
      </c>
      <c r="Q6" t="str">
        <f>P6-N6</f>
        <v>1.225472</v>
      </c>
      <c r="R6" t="str">
        <v>8.430441</v>
      </c>
      <c r="S6" t="str">
        <v>8.279130</v>
      </c>
      <c r="T6" t="str">
        <f>(P6/AM6)*1000</f>
        <v>21.332413</v>
      </c>
      <c r="U6" t="str">
        <f>V6*BG6</f>
        <v>0.441786</v>
      </c>
      <c r="V6" t="str">
        <v>7.500000</v>
      </c>
      <c r="W6" t="str">
        <v>PSF-01031_20260110223444_0d4</v>
      </c>
      <c r="X6" t="str">
        <v>44.015408</v>
      </c>
      <c r="Y6" t="str">
        <v>228.446243</v>
      </c>
      <c r="Z6" t="str">
        <v>0.807327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0.269010</v>
      </c>
      <c r="AG6" t="str">
        <v>1.000000</v>
      </c>
      <c r="AH6" t="str">
        <v>36.27</v>
      </c>
      <c r="AI6" t="str">
        <v>36.93</v>
      </c>
      <c r="AJ6" t="str">
        <v>18.54</v>
      </c>
      <c r="AK6" t="str">
        <v>17.47</v>
      </c>
      <c r="AL6" t="str">
        <f>(AK6-AJ6)*(AJ6*0+0)+AK6</f>
        <v>17.47</v>
      </c>
      <c r="AM6" t="str">
        <v>93.88</v>
      </c>
      <c r="AN6" t="str">
        <v>1.2</v>
      </c>
      <c r="AO6" t="str">
        <v>-16.2</v>
      </c>
      <c r="AP6" t="str">
        <v>1501.7</v>
      </c>
      <c r="AQ6" t="str">
        <v>1</v>
      </c>
      <c r="AR6" t="str">
        <v>3.707</v>
      </c>
      <c r="AS6" t="str">
        <v>22:31:25</v>
      </c>
      <c r="AT6" t="str">
        <v>2026-01-10</v>
      </c>
      <c r="AU6" t="str">
        <v>11.52</v>
      </c>
      <c r="AV6" t="str">
        <v>1</v>
      </c>
      <c r="AW6" t="str">
        <v>0.000</v>
      </c>
      <c r="AX6" t="str">
        <v>-0.000</v>
      </c>
      <c r="AY6" t="str">
        <v>-0.000</v>
      </c>
      <c r="AZ6" t="str">
        <v>0.086</v>
      </c>
      <c r="BA6" t="str">
        <v>0.343</v>
      </c>
      <c r="BB6" t="str">
        <v>0.719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2.469032</v>
      </c>
      <c r="CD6" t="str">
        <v>2.417084</v>
      </c>
      <c r="CE6" t="str">
        <v>0.607027</v>
      </c>
      <c r="CF6" t="str">
        <v>0.572018</v>
      </c>
      <c r="CG6" t="str">
        <v>0.353305</v>
      </c>
      <c r="CH6" t="str">
        <v>-0.010608</v>
      </c>
      <c r="CI6" t="str">
        <v>0.072847</v>
      </c>
      <c r="CJ6" t="str">
        <v>0.107517</v>
      </c>
      <c r="CK6" t="str">
        <v>44.194221</v>
      </c>
      <c r="CL6" t="str">
        <v>0.000209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PSF-01031_20260110223444_0d4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22:35:59</v>
      </c>
      <c r="C7" t="str">
        <v>2026-01-10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-0.000258</v>
      </c>
      <c r="K7" t="str">
        <f>BH7+(BI7*AN7)+(BJ7*AN7*POWER(V7,2))+(BK7*AN7*V7)+(BL7*POWER(AN7,2))</f>
        <v>0.034240</v>
      </c>
      <c r="L7" t="str">
        <f>((M7/1000)*(1000-((T7+S7)/2)))/(T7-S7)</f>
        <v>-0.000260</v>
      </c>
      <c r="M7" t="str">
        <f>(AN7*(S7-R7))/(100*U7*(1000-S7))*1000</f>
        <v>-0.003808</v>
      </c>
      <c r="N7" t="str">
        <v>0.790161</v>
      </c>
      <c r="O7" t="str">
        <v>0.803495</v>
      </c>
      <c r="P7" t="str">
        <f>0.61365*EXP((17.502*AL7)/(240.97+AL7))</f>
        <v>2.142682</v>
      </c>
      <c r="Q7" t="str">
        <f>P7-N7</f>
        <v>1.352521</v>
      </c>
      <c r="R7" t="str">
        <v>8.558591</v>
      </c>
      <c r="S7" t="str">
        <v>8.416554</v>
      </c>
      <c r="T7" t="str">
        <f>(P7/AM7)*1000</f>
        <v>22.823196</v>
      </c>
      <c r="U7" t="str">
        <f>V7*BG7</f>
        <v>0.441786</v>
      </c>
      <c r="V7" t="str">
        <v>7.500000</v>
      </c>
      <c r="W7" t="str">
        <v>PSF-01031_20260110223559_e80</v>
      </c>
      <c r="X7" t="str">
        <v>22.005558</v>
      </c>
      <c r="Y7" t="str">
        <v>97.741127</v>
      </c>
      <c r="Z7" t="str">
        <v>0.774859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0.872008</v>
      </c>
      <c r="AG7" t="str">
        <v>1.000000</v>
      </c>
      <c r="AH7" t="str">
        <v>36.40</v>
      </c>
      <c r="AI7" t="str">
        <v>37.02</v>
      </c>
      <c r="AJ7" t="str">
        <v>18.75</v>
      </c>
      <c r="AK7" t="str">
        <v>18.54</v>
      </c>
      <c r="AL7" t="str">
        <f>(AK7-AJ7)*(AJ7*0+0)+AK7</f>
        <v>18.54</v>
      </c>
      <c r="AM7" t="str">
        <v>93.88</v>
      </c>
      <c r="AN7" t="str">
        <v>1.2</v>
      </c>
      <c r="AO7" t="str">
        <v>-16.1</v>
      </c>
      <c r="AP7" t="str">
        <v>1470.1</v>
      </c>
      <c r="AQ7" t="str">
        <v>3</v>
      </c>
      <c r="AR7" t="str">
        <v>3.698</v>
      </c>
      <c r="AS7" t="str">
        <v>22:31:25</v>
      </c>
      <c r="AT7" t="str">
        <v>2026-01-10</v>
      </c>
      <c r="AU7" t="str">
        <v>11.52</v>
      </c>
      <c r="AV7" t="str">
        <v>1</v>
      </c>
      <c r="AW7" t="str">
        <v>-0.000</v>
      </c>
      <c r="AX7" t="str">
        <v>-0.000</v>
      </c>
      <c r="AY7" t="str">
        <v>-0.001</v>
      </c>
      <c r="AZ7" t="str">
        <v>0.001</v>
      </c>
      <c r="BA7" t="str">
        <v>0.183</v>
      </c>
      <c r="BB7" t="str">
        <v>0.517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2.469123</v>
      </c>
      <c r="CD7" t="str">
        <v>2.417268</v>
      </c>
      <c r="CE7" t="str">
        <v>0.607108</v>
      </c>
      <c r="CF7" t="str">
        <v>0.572279</v>
      </c>
      <c r="CG7" t="str">
        <v>0.350393</v>
      </c>
      <c r="CH7" t="str">
        <v>-0.001129</v>
      </c>
      <c r="CI7" t="str">
        <v>0.081728</v>
      </c>
      <c r="CJ7" t="str">
        <v>0.109344</v>
      </c>
      <c r="CK7" t="str">
        <v>22.005558</v>
      </c>
      <c r="CL7" t="str">
        <v>0.000210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PSF-01031_20260110223559_e80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22:37:29</v>
      </c>
      <c r="C8" t="str">
        <v>2026-01-10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-0.001134</v>
      </c>
      <c r="K8" t="str">
        <f>BH8+(BI8*AN8)+(BJ8*AN8*POWER(V8,2))+(BK8*AN8*V8)+(BL8*POWER(AN8,2))</f>
        <v>0.034938</v>
      </c>
      <c r="L8" t="str">
        <f>((M8/1000)*(1000-((T8+S8)/2)))/(T8-S8)</f>
        <v>-0.001172</v>
      </c>
      <c r="M8" t="str">
        <f>(AN8*(S8-R8))/(100*U8*(1000-S8))*1000</f>
        <v>-0.010459</v>
      </c>
      <c r="N8" t="str">
        <v>0.781464</v>
      </c>
      <c r="O8" t="str">
        <v>0.817351</v>
      </c>
      <c r="P8" t="str">
        <f>0.61365*EXP((17.502*AL8)/(240.97+AL8))</f>
        <v>1.608580</v>
      </c>
      <c r="Q8" t="str">
        <f>P8-N8</f>
        <v>0.827116</v>
      </c>
      <c r="R8" t="str">
        <v>8.706666</v>
      </c>
      <c r="S8" t="str">
        <v>8.324381</v>
      </c>
      <c r="T8" t="str">
        <f>(P8/AM8)*1000</f>
        <v>17.135059</v>
      </c>
      <c r="U8" t="str">
        <f>V8*BG8</f>
        <v>0.441786</v>
      </c>
      <c r="V8" t="str">
        <v>7.500000</v>
      </c>
      <c r="W8" t="str">
        <v>PSF-01031_20260110223729_4b9</v>
      </c>
      <c r="X8" t="str">
        <v>26.802063</v>
      </c>
      <c r="Y8" t="str">
        <v>128.590103</v>
      </c>
      <c r="Z8" t="str">
        <v>0.791570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0.334605</v>
      </c>
      <c r="AG8" t="str">
        <v>1.000000</v>
      </c>
      <c r="AH8" t="str">
        <v>35.50</v>
      </c>
      <c r="AI8" t="str">
        <v>37.13</v>
      </c>
      <c r="AJ8" t="str">
        <v>18.97</v>
      </c>
      <c r="AK8" t="str">
        <v>14.04</v>
      </c>
      <c r="AL8" t="str">
        <f>(AK8-AJ8)*(AJ8*0+0)+AK8</f>
        <v>14.04</v>
      </c>
      <c r="AM8" t="str">
        <v>93.88</v>
      </c>
      <c r="AN8" t="str">
        <v>1.2</v>
      </c>
      <c r="AO8" t="str">
        <v>-16.9</v>
      </c>
      <c r="AP8" t="str">
        <v>1509.1</v>
      </c>
      <c r="AQ8" t="str">
        <v>1</v>
      </c>
      <c r="AR8" t="str">
        <v>3.690</v>
      </c>
      <c r="AS8" t="str">
        <v>22:31:25</v>
      </c>
      <c r="AT8" t="str">
        <v>2026-01-10</v>
      </c>
      <c r="AU8" t="str">
        <v>11.52</v>
      </c>
      <c r="AV8" t="str">
        <v>1</v>
      </c>
      <c r="AW8" t="str">
        <v>-0.000</v>
      </c>
      <c r="AX8" t="str">
        <v>-0.000</v>
      </c>
      <c r="AY8" t="str">
        <v>0.001</v>
      </c>
      <c r="AZ8" t="str">
        <v>0.041</v>
      </c>
      <c r="BA8" t="str">
        <v>0.250</v>
      </c>
      <c r="BB8" t="str">
        <v>0.564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2.469256</v>
      </c>
      <c r="CD8" t="str">
        <v>2.415827</v>
      </c>
      <c r="CE8" t="str">
        <v>0.607230</v>
      </c>
      <c r="CF8" t="str">
        <v>0.570860</v>
      </c>
      <c r="CG8" t="str">
        <v>0.347226</v>
      </c>
      <c r="CH8" t="str">
        <v>-0.051952</v>
      </c>
      <c r="CI8" t="str">
        <v>0.091959</v>
      </c>
      <c r="CJ8" t="str">
        <v>0.107724</v>
      </c>
      <c r="CK8" t="str">
        <v>26.802063</v>
      </c>
      <c r="CL8" t="str">
        <v>0.000211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PSF-01031_20260110223729_4b9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22:39:56</v>
      </c>
      <c r="C9" t="str">
        <v>2026-01-10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-0.001263</v>
      </c>
      <c r="K9" t="str">
        <f>BH9+(BI9*AN9)+(BJ9*AN9*POWER(V9,2))+(BK9*AN9*V9)+(BL9*POWER(AN9,2))</f>
        <v>0.034253</v>
      </c>
      <c r="L9" t="str">
        <f>((M9/1000)*(1000-((T9+S9)/2)))/(T9-S9)</f>
        <v>-0.001312</v>
      </c>
      <c r="M9" t="str">
        <f>(AN9*(S9-R9))/(100*U9*(1000-S9))*1000</f>
        <v>-0.014199</v>
      </c>
      <c r="N9" t="str">
        <v>0.788445</v>
      </c>
      <c r="O9" t="str">
        <v>0.838147</v>
      </c>
      <c r="P9" t="str">
        <f>0.61365*EXP((17.502*AL9)/(240.97+AL9))</f>
        <v>1.790774</v>
      </c>
      <c r="Q9" t="str">
        <f>P9-N9</f>
        <v>1.002329</v>
      </c>
      <c r="R9" t="str">
        <v>8.927313</v>
      </c>
      <c r="S9" t="str">
        <v>8.397922</v>
      </c>
      <c r="T9" t="str">
        <f>(P9/AM9)*1000</f>
        <v>19.073971</v>
      </c>
      <c r="U9" t="str">
        <f>V9*BG9</f>
        <v>0.441786</v>
      </c>
      <c r="V9" t="str">
        <v>7.500000</v>
      </c>
      <c r="W9" t="str">
        <v>PSF-01031_20260110223956_a1a</v>
      </c>
      <c r="X9" t="str">
        <v>88.847282</v>
      </c>
      <c r="Y9" t="str">
        <v>462.409973</v>
      </c>
      <c r="Z9" t="str">
        <v>0.807860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0.972429</v>
      </c>
      <c r="AG9" t="str">
        <v>1.000000</v>
      </c>
      <c r="AH9" t="str">
        <v>35.08</v>
      </c>
      <c r="AI9" t="str">
        <v>37.29</v>
      </c>
      <c r="AJ9" t="str">
        <v>19.30</v>
      </c>
      <c r="AK9" t="str">
        <v>15.71</v>
      </c>
      <c r="AL9" t="str">
        <f>(AK9-AJ9)*(AJ9*0+0)+AK9</f>
        <v>15.71</v>
      </c>
      <c r="AM9" t="str">
        <v>93.89</v>
      </c>
      <c r="AN9" t="str">
        <v>1.2</v>
      </c>
      <c r="AO9" t="str">
        <v>-16.2</v>
      </c>
      <c r="AP9" t="str">
        <v>1478.4</v>
      </c>
      <c r="AQ9" t="str">
        <v>3</v>
      </c>
      <c r="AR9" t="str">
        <v>3.689</v>
      </c>
      <c r="AS9" t="str">
        <v>22:31:25</v>
      </c>
      <c r="AT9" t="str">
        <v>2026-01-10</v>
      </c>
      <c r="AU9" t="str">
        <v>11.52</v>
      </c>
      <c r="AV9" t="str">
        <v>1</v>
      </c>
      <c r="AW9" t="str">
        <v>-0.000</v>
      </c>
      <c r="AX9" t="str">
        <v>0.000</v>
      </c>
      <c r="AY9" t="str">
        <v>0.000</v>
      </c>
      <c r="AZ9" t="str">
        <v>-0.154</v>
      </c>
      <c r="BA9" t="str">
        <v>0.146</v>
      </c>
      <c r="BB9" t="str">
        <v>0.722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2.469455</v>
      </c>
      <c r="CD9" t="str">
        <v>2.415143</v>
      </c>
      <c r="CE9" t="str">
        <v>0.607111</v>
      </c>
      <c r="CF9" t="str">
        <v>0.572095</v>
      </c>
      <c r="CG9" t="str">
        <v>0.342630</v>
      </c>
      <c r="CH9" t="str">
        <v>-0.037992</v>
      </c>
      <c r="CI9" t="str">
        <v>0.108239</v>
      </c>
      <c r="CJ9" t="str">
        <v>0.109524</v>
      </c>
      <c r="CK9" t="str">
        <v>88.847282</v>
      </c>
      <c r="CL9" t="str">
        <v>0.000211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PSF-01031_20260110223956_a1a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22:40:44</v>
      </c>
      <c r="C10" t="str">
        <v>2026-01-10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-0.001307</v>
      </c>
      <c r="K10" t="str">
        <f>BH10+(BI10*AN10)+(BJ10*AN10*POWER(V10,2))+(BK10*AN10*V10)+(BL10*POWER(AN10,2))</f>
        <v>0.032801</v>
      </c>
      <c r="L10" t="str">
        <f>((M10/1000)*(1000-((T10+S10)/2)))/(T10-S10)</f>
        <v>-0.001362</v>
      </c>
      <c r="M10" t="str">
        <f>(AN10*(S10-R10))/(100*U10*(1000-S10))*1000</f>
        <v>-0.021338</v>
      </c>
      <c r="N10" t="str">
        <v>0.765300</v>
      </c>
      <c r="O10" t="str">
        <v>0.843330</v>
      </c>
      <c r="P10" t="str">
        <f>0.61365*EXP((17.502*AL10)/(240.97+AL10))</f>
        <v>2.213313</v>
      </c>
      <c r="Q10" t="str">
        <f>P10-N10</f>
        <v>1.448013</v>
      </c>
      <c r="R10" t="str">
        <v>8.981919</v>
      </c>
      <c r="S10" t="str">
        <v>8.150856</v>
      </c>
      <c r="T10" t="str">
        <f>(P10/AM10)*1000</f>
        <v>23.572969</v>
      </c>
      <c r="U10" t="str">
        <f>V10*BG10</f>
        <v>0.441786</v>
      </c>
      <c r="V10" t="str">
        <v>7.500000</v>
      </c>
      <c r="W10" t="str">
        <v>PSF-01031_20260110224044_2e8</v>
      </c>
      <c r="X10" t="str">
        <v>28.226852</v>
      </c>
      <c r="Y10" t="str">
        <v>28.703571</v>
      </c>
      <c r="Z10" t="str">
        <v>0.016608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0.014332</v>
      </c>
      <c r="AG10" t="str">
        <v>1.000000</v>
      </c>
      <c r="AH10" t="str">
        <v>33.86</v>
      </c>
      <c r="AI10" t="str">
        <v>37.32</v>
      </c>
      <c r="AJ10" t="str">
        <v>19.39</v>
      </c>
      <c r="AK10" t="str">
        <v>19.06</v>
      </c>
      <c r="AL10" t="str">
        <f>(AK10-AJ10)*(AJ10*0+0)+AK10</f>
        <v>19.06</v>
      </c>
      <c r="AM10" t="str">
        <v>93.89</v>
      </c>
      <c r="AN10" t="str">
        <v>1.1</v>
      </c>
      <c r="AO10" t="str">
        <v>-15.6</v>
      </c>
      <c r="AP10" t="str">
        <v>1485.1</v>
      </c>
      <c r="AQ10" t="str">
        <v>2</v>
      </c>
      <c r="AR10" t="str">
        <v>3.687</v>
      </c>
      <c r="AS10" t="str">
        <v>22:31:25</v>
      </c>
      <c r="AT10" t="str">
        <v>2026-01-10</v>
      </c>
      <c r="AU10" t="str">
        <v>11.52</v>
      </c>
      <c r="AV10" t="str">
        <v>1</v>
      </c>
      <c r="AW10" t="str">
        <v>0.000</v>
      </c>
      <c r="AX10" t="str">
        <v>0.000</v>
      </c>
      <c r="AY10" t="str">
        <v>0.000</v>
      </c>
      <c r="AZ10" t="str">
        <v>-0.244</v>
      </c>
      <c r="BA10" t="str">
        <v>-0.044</v>
      </c>
      <c r="BB10" t="str">
        <v>0.935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2.469477</v>
      </c>
      <c r="CD10" t="str">
        <v>2.413207</v>
      </c>
      <c r="CE10" t="str">
        <v>0.606857</v>
      </c>
      <c r="CF10" t="str">
        <v>0.573188</v>
      </c>
      <c r="CG10" t="str">
        <v>0.341409</v>
      </c>
      <c r="CH10" t="str">
        <v>-0.002588</v>
      </c>
      <c r="CI10" t="str">
        <v>0.113338</v>
      </c>
      <c r="CJ10" t="str">
        <v>0.108739</v>
      </c>
      <c r="CK10" t="str">
        <v>28.226852</v>
      </c>
      <c r="CL10" t="str">
        <v>0.000211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PSF-01031_20260110224044_2e8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22:41:15</v>
      </c>
      <c r="C11" t="str">
        <v>2026-01-10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-0.002300</v>
      </c>
      <c r="K11" t="str">
        <f>BH11+(BI11*AN11)+(BJ11*AN11*POWER(V11,2))+(BK11*AN11*V11)+(BL11*POWER(AN11,2))</f>
        <v>0.034828</v>
      </c>
      <c r="L11" t="str">
        <f>((M11/1000)*(1000-((T11+S11)/2)))/(T11-S11)</f>
        <v>-0.002463</v>
      </c>
      <c r="M11" t="str">
        <f>(AN11*(S11-R11))/(100*U11*(1000-S11))*1000</f>
        <v>-0.022767</v>
      </c>
      <c r="N11" t="str">
        <v>0.767797</v>
      </c>
      <c r="O11" t="str">
        <v>0.846186</v>
      </c>
      <c r="P11" t="str">
        <f>0.61365*EXP((17.502*AL11)/(240.97+AL11))</f>
        <v>1.624616</v>
      </c>
      <c r="Q11" t="str">
        <f>P11-N11</f>
        <v>0.856819</v>
      </c>
      <c r="R11" t="str">
        <v>9.012889</v>
      </c>
      <c r="S11" t="str">
        <v>8.177952</v>
      </c>
      <c r="T11" t="str">
        <f>(P11/AM11)*1000</f>
        <v>17.304089</v>
      </c>
      <c r="U11" t="str">
        <f>V11*BG11</f>
        <v>0.441786</v>
      </c>
      <c r="V11" t="str">
        <v>7.500000</v>
      </c>
      <c r="W11" t="str">
        <v>PSF-01031_20260110224115_aa0</v>
      </c>
      <c r="X11" t="str">
        <v>32.940746</v>
      </c>
      <c r="Y11" t="str">
        <v>161.664612</v>
      </c>
      <c r="Z11" t="str">
        <v>0.796240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0.901628</v>
      </c>
      <c r="AG11" t="str">
        <v>1.000000</v>
      </c>
      <c r="AH11" t="str">
        <v>33.87</v>
      </c>
      <c r="AI11" t="str">
        <v>37.33</v>
      </c>
      <c r="AJ11" t="str">
        <v>19.44</v>
      </c>
      <c r="AK11" t="str">
        <v>14.19</v>
      </c>
      <c r="AL11" t="str">
        <f>(AK11-AJ11)*(AJ11*0+0)+AK11</f>
        <v>14.19</v>
      </c>
      <c r="AM11" t="str">
        <v>93.89</v>
      </c>
      <c r="AN11" t="str">
        <v>1.2</v>
      </c>
      <c r="AO11" t="str">
        <v>-16.7</v>
      </c>
      <c r="AP11" t="str">
        <v>1495.3</v>
      </c>
      <c r="AQ11" t="str">
        <v>3</v>
      </c>
      <c r="AR11" t="str">
        <v>3.685</v>
      </c>
      <c r="AS11" t="str">
        <v>22:31:25</v>
      </c>
      <c r="AT11" t="str">
        <v>2026-01-10</v>
      </c>
      <c r="AU11" t="str">
        <v>11.52</v>
      </c>
      <c r="AV11" t="str">
        <v>1</v>
      </c>
      <c r="AW11" t="str">
        <v>0.000</v>
      </c>
      <c r="AX11" t="str">
        <v>0.000</v>
      </c>
      <c r="AY11" t="str">
        <v>0.000</v>
      </c>
      <c r="AZ11" t="str">
        <v>0.380</v>
      </c>
      <c r="BA11" t="str">
        <v>0.193</v>
      </c>
      <c r="BB11" t="str">
        <v>0.849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2.469486</v>
      </c>
      <c r="CD11" t="str">
        <v>2.413212</v>
      </c>
      <c r="CE11" t="str">
        <v>0.607211</v>
      </c>
      <c r="CF11" t="str">
        <v>0.571249</v>
      </c>
      <c r="CG11" t="str">
        <v>0.340731</v>
      </c>
      <c r="CH11" t="str">
        <v>-0.055520</v>
      </c>
      <c r="CI11" t="str">
        <v>0.116570</v>
      </c>
      <c r="CJ11" t="str">
        <v>0.109360</v>
      </c>
      <c r="CK11" t="str">
        <v>32.940746</v>
      </c>
      <c r="CL11" t="str">
        <v>0.000211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PSF-01031_20260110224115_aa0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22:43:40</v>
      </c>
      <c r="C12" t="str">
        <v>2026-01-10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0.000938</v>
      </c>
      <c r="K12" t="str">
        <f>BH12+(BI12*AN12)+(BJ12*AN12*POWER(V12,2))+(BK12*AN12*V12)+(BL12*POWER(AN12,2))</f>
        <v>0.032657</v>
      </c>
      <c r="L12" t="str">
        <f>((M12/1000)*(1000-((T12+S12)/2)))/(T12-S12)</f>
        <v>0.000912</v>
      </c>
      <c r="M12" t="str">
        <f>(AN12*(S12-R12))/(100*U12*(1000-S12))*1000</f>
        <v>0.014717</v>
      </c>
      <c r="N12" t="str">
        <v>0.918730</v>
      </c>
      <c r="O12" t="str">
        <v>0.864759</v>
      </c>
      <c r="P12" t="str">
        <f>0.61365*EXP((17.502*AL12)/(240.97+AL12))</f>
        <v>2.407834</v>
      </c>
      <c r="Q12" t="str">
        <f>P12-N12</f>
        <v>1.489104</v>
      </c>
      <c r="R12" t="str">
        <v>9.208989</v>
      </c>
      <c r="S12" t="str">
        <v>9.783744</v>
      </c>
      <c r="T12" t="str">
        <f>(P12/AM12)*1000</f>
        <v>25.641514</v>
      </c>
      <c r="U12" t="str">
        <f>V12*BG12</f>
        <v>0.441786</v>
      </c>
      <c r="V12" t="str">
        <v>7.500000</v>
      </c>
      <c r="W12" t="str">
        <v>PSF-01031_20260110224340_b6b</v>
      </c>
      <c r="X12" t="str">
        <v>29.027580</v>
      </c>
      <c r="Y12" t="str">
        <v>28.909206</v>
      </c>
      <c r="Z12" t="str">
        <v>-0.004095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-0.004322</v>
      </c>
      <c r="AG12" t="str">
        <v>1.000000</v>
      </c>
      <c r="AH12" t="str">
        <v>39.59</v>
      </c>
      <c r="AI12" t="str">
        <v>37.26</v>
      </c>
      <c r="AJ12" t="str">
        <v>19.82</v>
      </c>
      <c r="AK12" t="str">
        <v>20.42</v>
      </c>
      <c r="AL12" t="str">
        <f>(AK12-AJ12)*(AJ12*0+0)+AK12</f>
        <v>20.42</v>
      </c>
      <c r="AM12" t="str">
        <v>93.90</v>
      </c>
      <c r="AN12" t="str">
        <v>1.1</v>
      </c>
      <c r="AO12" t="str">
        <v>-15.8</v>
      </c>
      <c r="AP12" t="str">
        <v>1508.1</v>
      </c>
      <c r="AQ12" t="str">
        <v>3</v>
      </c>
      <c r="AR12" t="str">
        <v>3.678</v>
      </c>
      <c r="AS12" t="str">
        <v>22:41:51</v>
      </c>
      <c r="AT12" t="str">
        <v>2026-01-10</v>
      </c>
      <c r="AU12" t="str">
        <v>14.17</v>
      </c>
      <c r="AV12" t="str">
        <v>1</v>
      </c>
      <c r="AW12" t="str">
        <v>-0.000</v>
      </c>
      <c r="AX12" t="str">
        <v>-0.000</v>
      </c>
      <c r="AY12" t="str">
        <v>-0.000</v>
      </c>
      <c r="AZ12" t="str">
        <v>-0.155</v>
      </c>
      <c r="BA12" t="str">
        <v>0.505</v>
      </c>
      <c r="BB12" t="str">
        <v>0.660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2.469328</v>
      </c>
      <c r="CD12" t="str">
        <v>2.418000</v>
      </c>
      <c r="CE12" t="str">
        <v>0.606832</v>
      </c>
      <c r="CF12" t="str">
        <v>0.572850</v>
      </c>
      <c r="CG12" t="str">
        <v>0.335583</v>
      </c>
      <c r="CH12" t="str">
        <v>0.007733</v>
      </c>
      <c r="CI12" t="str">
        <v>0.131861</v>
      </c>
      <c r="CJ12" t="str">
        <v>0.109182</v>
      </c>
      <c r="CK12" t="str">
        <v>29.027580</v>
      </c>
      <c r="CL12" t="str">
        <v>0.000215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PSF-01031_20260110224340_b6b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22:44:26</v>
      </c>
      <c r="C13" t="str">
        <v>2026-01-10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-0.000318</v>
      </c>
      <c r="K13" t="str">
        <f>BH13+(BI13*AN13)+(BJ13*AN13*POWER(V13,2))+(BK13*AN13*V13)+(BL13*POWER(AN13,2))</f>
        <v>0.034042</v>
      </c>
      <c r="L13" t="str">
        <f>((M13/1000)*(1000-((T13+S13)/2)))/(T13-S13)</f>
        <v>-0.000321</v>
      </c>
      <c r="M13" t="str">
        <f>(AN13*(S13-R13))/(100*U13*(1000-S13))*1000</f>
        <v>-0.005170</v>
      </c>
      <c r="N13" t="str">
        <v>0.852627</v>
      </c>
      <c r="O13" t="str">
        <v>0.870824</v>
      </c>
      <c r="P13" t="str">
        <f>0.61365*EXP((17.502*AL13)/(240.97+AL13))</f>
        <v>2.338413</v>
      </c>
      <c r="Q13" t="str">
        <f>P13-N13</f>
        <v>1.485786</v>
      </c>
      <c r="R13" t="str">
        <v>9.274275</v>
      </c>
      <c r="S13" t="str">
        <v>9.080471</v>
      </c>
      <c r="T13" t="str">
        <f>(P13/AM13)*1000</f>
        <v>24.904089</v>
      </c>
      <c r="U13" t="str">
        <f>V13*BG13</f>
        <v>0.441786</v>
      </c>
      <c r="V13" t="str">
        <v>7.500000</v>
      </c>
      <c r="W13" t="str">
        <v>PSF-01031_20260110224426_4c8</v>
      </c>
      <c r="X13" t="str">
        <v>102.139954</v>
      </c>
      <c r="Y13" t="str">
        <v>490.016693</v>
      </c>
      <c r="Z13" t="str">
        <v>0.791558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0.856790</v>
      </c>
      <c r="AG13" t="str">
        <v>1.000000</v>
      </c>
      <c r="AH13" t="str">
        <v>36.48</v>
      </c>
      <c r="AI13" t="str">
        <v>37.26</v>
      </c>
      <c r="AJ13" t="str">
        <v>19.93</v>
      </c>
      <c r="AK13" t="str">
        <v>19.94</v>
      </c>
      <c r="AL13" t="str">
        <f>(AK13-AJ13)*(AJ13*0+0)+AK13</f>
        <v>19.94</v>
      </c>
      <c r="AM13" t="str">
        <v>93.90</v>
      </c>
      <c r="AN13" t="str">
        <v>1.2</v>
      </c>
      <c r="AO13" t="str">
        <v>-15.6</v>
      </c>
      <c r="AP13" t="str">
        <v>1436.8</v>
      </c>
      <c r="AQ13" t="str">
        <v>3</v>
      </c>
      <c r="AR13" t="str">
        <v>3.677</v>
      </c>
      <c r="AS13" t="str">
        <v>22:41:51</v>
      </c>
      <c r="AT13" t="str">
        <v>2026-01-10</v>
      </c>
      <c r="AU13" t="str">
        <v>14.17</v>
      </c>
      <c r="AV13" t="str">
        <v>1</v>
      </c>
      <c r="AW13" t="str">
        <v>-0.000</v>
      </c>
      <c r="AX13" t="str">
        <v>-0.000</v>
      </c>
      <c r="AY13" t="str">
        <v>-0.000</v>
      </c>
      <c r="AZ13" t="str">
        <v>0.201</v>
      </c>
      <c r="BA13" t="str">
        <v>0.113</v>
      </c>
      <c r="BB13" t="str">
        <v>0.592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2.469311</v>
      </c>
      <c r="CD13" t="str">
        <v>2.413116</v>
      </c>
      <c r="CE13" t="str">
        <v>0.607074</v>
      </c>
      <c r="CF13" t="str">
        <v>0.573139</v>
      </c>
      <c r="CG13" t="str">
        <v>0.334067</v>
      </c>
      <c r="CH13" t="str">
        <v>0.001182</v>
      </c>
      <c r="CI13" t="str">
        <v>0.136546</v>
      </c>
      <c r="CJ13" t="str">
        <v>0.109245</v>
      </c>
      <c r="CK13" t="str">
        <v>102.139954</v>
      </c>
      <c r="CL13" t="str">
        <v>0.000211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PSF-01031_20260110224426_4c8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22:45:04</v>
      </c>
      <c r="C14" t="str">
        <v>2026-01-10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-0.000470</v>
      </c>
      <c r="K14" t="str">
        <f>BH14+(BI14*AN14)+(BJ14*AN14*POWER(V14,2))+(BK14*AN14*V14)+(BL14*POWER(AN14,2))</f>
        <v>0.035286</v>
      </c>
      <c r="L14" t="str">
        <f>((M14/1000)*(1000-((T14+S14)/2)))/(T14-S14)</f>
        <v>-0.000477</v>
      </c>
      <c r="M14" t="str">
        <f>(AN14*(S14-R14))/(100*U14*(1000-S14))*1000</f>
        <v>-0.006050</v>
      </c>
      <c r="N14" t="str">
        <v>0.853808</v>
      </c>
      <c r="O14" t="str">
        <v>0.874350</v>
      </c>
      <c r="P14" t="str">
        <f>0.61365*EXP((17.502*AL14)/(240.97+AL14))</f>
        <v>2.027504</v>
      </c>
      <c r="Q14" t="str">
        <f>P14-N14</f>
        <v>1.173696</v>
      </c>
      <c r="R14" t="str">
        <v>9.311920</v>
      </c>
      <c r="S14" t="str">
        <v>9.093153</v>
      </c>
      <c r="T14" t="str">
        <f>(P14/AM14)*1000</f>
        <v>21.593138</v>
      </c>
      <c r="U14" t="str">
        <f>V14*BG14</f>
        <v>0.441786</v>
      </c>
      <c r="V14" t="str">
        <v>7.500000</v>
      </c>
      <c r="W14" t="str">
        <v>PSF-01031_20260110224504_397</v>
      </c>
      <c r="X14" t="str">
        <v>33.921005</v>
      </c>
      <c r="Y14" t="str">
        <v>162.907715</v>
      </c>
      <c r="Z14" t="str">
        <v>0.791778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0.846711</v>
      </c>
      <c r="AG14" t="str">
        <v>1.000000</v>
      </c>
      <c r="AH14" t="str">
        <v>36.36</v>
      </c>
      <c r="AI14" t="str">
        <v>37.24</v>
      </c>
      <c r="AJ14" t="str">
        <v>20.01</v>
      </c>
      <c r="AK14" t="str">
        <v>17.66</v>
      </c>
      <c r="AL14" t="str">
        <f>(AK14-AJ14)*(AJ14*0+0)+AK14</f>
        <v>17.66</v>
      </c>
      <c r="AM14" t="str">
        <v>93.90</v>
      </c>
      <c r="AN14" t="str">
        <v>1.2</v>
      </c>
      <c r="AO14" t="str">
        <v>-16.2</v>
      </c>
      <c r="AP14" t="str">
        <v>1434.4</v>
      </c>
      <c r="AQ14" t="str">
        <v>3</v>
      </c>
      <c r="AR14" t="str">
        <v>3.672</v>
      </c>
      <c r="AS14" t="str">
        <v>22:41:51</v>
      </c>
      <c r="AT14" t="str">
        <v>2026-01-10</v>
      </c>
      <c r="AU14" t="str">
        <v>14.17</v>
      </c>
      <c r="AV14" t="str">
        <v>1</v>
      </c>
      <c r="AW14" t="str">
        <v>0.000</v>
      </c>
      <c r="AX14" t="str">
        <v>0.000</v>
      </c>
      <c r="AY14" t="str">
        <v>0.000</v>
      </c>
      <c r="AZ14" t="str">
        <v>-0.079</v>
      </c>
      <c r="BA14" t="str">
        <v>0.172</v>
      </c>
      <c r="BB14" t="str">
        <v>0.483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2.469269</v>
      </c>
      <c r="CD14" t="str">
        <v>2.412924</v>
      </c>
      <c r="CE14" t="str">
        <v>0.607291</v>
      </c>
      <c r="CF14" t="str">
        <v>0.572171</v>
      </c>
      <c r="CG14" t="str">
        <v>0.333072</v>
      </c>
      <c r="CH14" t="str">
        <v>-0.024770</v>
      </c>
      <c r="CI14" t="str">
        <v>0.140317</v>
      </c>
      <c r="CJ14" t="str">
        <v>0.109215</v>
      </c>
      <c r="CK14" t="str">
        <v>33.921005</v>
      </c>
      <c r="CL14" t="str">
        <v>0.000212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PSF-01031_20260110224504_397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22:48:10</v>
      </c>
      <c r="C15" t="str">
        <v>2026-01-10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-0.000781</v>
      </c>
      <c r="K15" t="str">
        <f>BH15+(BI15*AN15)+(BJ15*AN15*POWER(V15,2))+(BK15*AN15*V15)+(BL15*POWER(AN15,2))</f>
        <v>0.034164</v>
      </c>
      <c r="L15" t="str">
        <f>((M15/1000)*(1000-((T15+S15)/2)))/(T15-S15)</f>
        <v>-0.000799</v>
      </c>
      <c r="M15" t="str">
        <f>(AN15*(S15-R15))/(100*U15*(1000-S15))*1000</f>
        <v>-0.013233</v>
      </c>
      <c r="N15" t="str">
        <v>0.848178</v>
      </c>
      <c r="O15" t="str">
        <v>0.894582</v>
      </c>
      <c r="P15" t="str">
        <f>0.61365*EXP((17.502*AL15)/(240.97+AL15))</f>
        <v>2.375348</v>
      </c>
      <c r="Q15" t="str">
        <f>P15-N15</f>
        <v>1.527170</v>
      </c>
      <c r="R15" t="str">
        <v>9.529451</v>
      </c>
      <c r="S15" t="str">
        <v>9.035134</v>
      </c>
      <c r="T15" t="str">
        <f>(P15/AM15)*1000</f>
        <v>25.303169</v>
      </c>
      <c r="U15" t="str">
        <f>V15*BG15</f>
        <v>0.441786</v>
      </c>
      <c r="V15" t="str">
        <v>7.500000</v>
      </c>
      <c r="W15" t="str">
        <v>PSF-01031_20260110224810_c6d</v>
      </c>
      <c r="X15" t="str">
        <v>124.046448</v>
      </c>
      <c r="Y15" t="str">
        <v>252.527481</v>
      </c>
      <c r="Z15" t="str">
        <v>0.508780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0.122022</v>
      </c>
      <c r="AG15" t="str">
        <v>1.000000</v>
      </c>
      <c r="AH15" t="str">
        <v>35.40</v>
      </c>
      <c r="AI15" t="str">
        <v>37.34</v>
      </c>
      <c r="AJ15" t="str">
        <v>20.33</v>
      </c>
      <c r="AK15" t="str">
        <v>20.20</v>
      </c>
      <c r="AL15" t="str">
        <f>(AK15-AJ15)*(AJ15*0+0)+AK15</f>
        <v>20.20</v>
      </c>
      <c r="AM15" t="str">
        <v>93.88</v>
      </c>
      <c r="AN15" t="str">
        <v>1.2</v>
      </c>
      <c r="AO15" t="str">
        <v>-15.6</v>
      </c>
      <c r="AP15" t="str">
        <v>1430.3</v>
      </c>
      <c r="AQ15" t="str">
        <v>1</v>
      </c>
      <c r="AR15" t="str">
        <v>3.668</v>
      </c>
      <c r="AS15" t="str">
        <v>22:41:51</v>
      </c>
      <c r="AT15" t="str">
        <v>2026-01-10</v>
      </c>
      <c r="AU15" t="str">
        <v>14.17</v>
      </c>
      <c r="AV15" t="str">
        <v>1</v>
      </c>
      <c r="AW15" t="str">
        <v>0.000</v>
      </c>
      <c r="AX15" t="str">
        <v>0.000</v>
      </c>
      <c r="AY15" t="str">
        <v>0.000</v>
      </c>
      <c r="AZ15" t="str">
        <v>0.617</v>
      </c>
      <c r="BA15" t="str">
        <v>0.491</v>
      </c>
      <c r="BB15" t="str">
        <v>0.746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2.469370</v>
      </c>
      <c r="CD15" t="str">
        <v>2.411365</v>
      </c>
      <c r="CE15" t="str">
        <v>0.607095</v>
      </c>
      <c r="CF15" t="str">
        <v>0.573173</v>
      </c>
      <c r="CG15" t="str">
        <v>0.328737</v>
      </c>
      <c r="CH15" t="str">
        <v>-0.000487</v>
      </c>
      <c r="CI15" t="str">
        <v>0.159237</v>
      </c>
      <c r="CJ15" t="str">
        <v>0.107302</v>
      </c>
      <c r="CK15" t="str">
        <v>124.046448</v>
      </c>
      <c r="CL15" t="str">
        <v>0.000210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PSF-01031_20260110224810_c6d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22:49:11</v>
      </c>
      <c r="C16" t="str">
        <v>2026-01-10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0.000319</v>
      </c>
      <c r="K16" t="str">
        <f>BH16+(BI16*AN16)+(BJ16*AN16*POWER(V16,2))+(BK16*AN16*V16)+(BL16*POWER(AN16,2))</f>
        <v>0.035923</v>
      </c>
      <c r="L16" t="str">
        <f>((M16/1000)*(1000-((T16+S16)/2)))/(T16-S16)</f>
        <v>0.000316</v>
      </c>
      <c r="M16" t="str">
        <f>(AN16*(S16-R16))/(100*U16*(1000-S16))*1000</f>
        <v>0.005296</v>
      </c>
      <c r="N16" t="str">
        <v>0.917997</v>
      </c>
      <c r="O16" t="str">
        <v>0.900348</v>
      </c>
      <c r="P16" t="str">
        <f>0.61365*EXP((17.502*AL16)/(240.97+AL16))</f>
        <v>2.461346</v>
      </c>
      <c r="Q16" t="str">
        <f>P16-N16</f>
        <v>1.543349</v>
      </c>
      <c r="R16" t="str">
        <v>9.590163</v>
      </c>
      <c r="S16" t="str">
        <v>9.778147</v>
      </c>
      <c r="T16" t="str">
        <f>(P16/AM16)*1000</f>
        <v>26.217300</v>
      </c>
      <c r="U16" t="str">
        <f>V16*BG16</f>
        <v>0.441786</v>
      </c>
      <c r="V16" t="str">
        <v>7.500000</v>
      </c>
      <c r="W16" t="str">
        <v>PSF-01031_20260110224911_9e6</v>
      </c>
      <c r="X16" t="str">
        <v>80.476288</v>
      </c>
      <c r="Y16" t="str">
        <v>298.836365</v>
      </c>
      <c r="Z16" t="str">
        <v>0.730701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0.150423</v>
      </c>
      <c r="AG16" t="str">
        <v>1.000000</v>
      </c>
      <c r="AH16" t="str">
        <v>38.05</v>
      </c>
      <c r="AI16" t="str">
        <v>37.32</v>
      </c>
      <c r="AJ16" t="str">
        <v>20.45</v>
      </c>
      <c r="AK16" t="str">
        <v>20.77</v>
      </c>
      <c r="AL16" t="str">
        <f>(AK16-AJ16)*(AJ16*0+0)+AK16</f>
        <v>20.77</v>
      </c>
      <c r="AM16" t="str">
        <v>93.88</v>
      </c>
      <c r="AN16" t="str">
        <v>1.2</v>
      </c>
      <c r="AO16" t="str">
        <v>-16.2</v>
      </c>
      <c r="AP16" t="str">
        <v>1411.0</v>
      </c>
      <c r="AQ16" t="str">
        <v>1</v>
      </c>
      <c r="AR16" t="str">
        <v>3.664</v>
      </c>
      <c r="AS16" t="str">
        <v>22:41:51</v>
      </c>
      <c r="AT16" t="str">
        <v>2026-01-10</v>
      </c>
      <c r="AU16" t="str">
        <v>14.17</v>
      </c>
      <c r="AV16" t="str">
        <v>1</v>
      </c>
      <c r="AW16" t="str">
        <v>0.000</v>
      </c>
      <c r="AX16" t="str">
        <v>0.001</v>
      </c>
      <c r="AY16" t="str">
        <v>0.001</v>
      </c>
      <c r="AZ16" t="str">
        <v>3.013</v>
      </c>
      <c r="BA16" t="str">
        <v>1.492</v>
      </c>
      <c r="BB16" t="str">
        <v>0.055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2.469324</v>
      </c>
      <c r="CD16" t="str">
        <v>2.415548</v>
      </c>
      <c r="CE16" t="str">
        <v>0.607402</v>
      </c>
      <c r="CF16" t="str">
        <v>0.572163</v>
      </c>
      <c r="CG16" t="str">
        <v>0.327253</v>
      </c>
      <c r="CH16" t="str">
        <v>0.004701</v>
      </c>
      <c r="CI16" t="str">
        <v>0.165164</v>
      </c>
      <c r="CJ16" t="str">
        <v>0.107224</v>
      </c>
      <c r="CK16" t="str">
        <v>84.259270</v>
      </c>
      <c r="CL16" t="str">
        <v>0.000213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PSF-01031_20260110224911_9e6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22:50:49</v>
      </c>
      <c r="C17" t="str">
        <v>2026-01-10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0.008551</v>
      </c>
      <c r="K17" t="str">
        <f>BH17+(BI17*AN17)+(BJ17*AN17*POWER(V17,2))+(BK17*AN17*V17)+(BL17*POWER(AN17,2))</f>
        <v>0.035714</v>
      </c>
      <c r="L17" t="str">
        <f>((M17/1000)*(1000-((T17+S17)/2)))/(T17-S17)</f>
        <v>0.006899</v>
      </c>
      <c r="M17" t="str">
        <f>(AN17*(S17-R17))/(100*U17*(1000-S17))*1000</f>
        <v>0.026101</v>
      </c>
      <c r="N17" t="str">
        <v>0.996519</v>
      </c>
      <c r="O17" t="str">
        <v>0.909114</v>
      </c>
      <c r="P17" t="str">
        <f>0.61365*EXP((17.502*AL17)/(240.97+AL17))</f>
        <v>1.347234</v>
      </c>
      <c r="Q17" t="str">
        <f>P17-N17</f>
        <v>0.350715</v>
      </c>
      <c r="R17" t="str">
        <v>9.684355</v>
      </c>
      <c r="S17" t="str">
        <v>10.615442</v>
      </c>
      <c r="T17" t="str">
        <f>(P17/AM17)*1000</f>
        <v>14.351437</v>
      </c>
      <c r="U17" t="str">
        <f>V17*BG17</f>
        <v>0.441786</v>
      </c>
      <c r="V17" t="str">
        <v>7.500000</v>
      </c>
      <c r="W17" t="str">
        <v>PSF-01031_20260110225049_f69</v>
      </c>
      <c r="X17" t="str">
        <v>56.701542</v>
      </c>
      <c r="Y17" t="str">
        <v>281.268585</v>
      </c>
      <c r="Z17" t="str">
        <v>0.798408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0.936653</v>
      </c>
      <c r="AG17" t="str">
        <v>1.000000</v>
      </c>
      <c r="AH17" t="str">
        <v>40.95</v>
      </c>
      <c r="AI17" t="str">
        <v>37.36</v>
      </c>
      <c r="AJ17" t="str">
        <v>20.59</v>
      </c>
      <c r="AK17" t="str">
        <v>11.34</v>
      </c>
      <c r="AL17" t="str">
        <f>(AK17-AJ17)*(AJ17*0+0)+AK17</f>
        <v>11.34</v>
      </c>
      <c r="AM17" t="str">
        <v>93.87</v>
      </c>
      <c r="AN17" t="str">
        <v>1.2</v>
      </c>
      <c r="AO17" t="str">
        <v>-17.1</v>
      </c>
      <c r="AP17" t="str">
        <v>1491.9</v>
      </c>
      <c r="AQ17" t="str">
        <v>3</v>
      </c>
      <c r="AR17" t="str">
        <v>3.662</v>
      </c>
      <c r="AS17" t="str">
        <v>22:41:51</v>
      </c>
      <c r="AT17" t="str">
        <v>2026-01-10</v>
      </c>
      <c r="AU17" t="str">
        <v>14.17</v>
      </c>
      <c r="AV17" t="str">
        <v>1</v>
      </c>
      <c r="AW17" t="str">
        <v>0.001</v>
      </c>
      <c r="AX17" t="str">
        <v>0.003</v>
      </c>
      <c r="AY17" t="str">
        <v>0.006</v>
      </c>
      <c r="AZ17" t="str">
        <v>-0.060</v>
      </c>
      <c r="BA17" t="str">
        <v>0.282</v>
      </c>
      <c r="BB17" t="str">
        <v>0.740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2.469355</v>
      </c>
      <c r="CD17" t="str">
        <v>2.420022</v>
      </c>
      <c r="CE17" t="str">
        <v>0.607366</v>
      </c>
      <c r="CF17" t="str">
        <v>0.570566</v>
      </c>
      <c r="CG17" t="str">
        <v>0.325395</v>
      </c>
      <c r="CH17" t="str">
        <v>-0.097766</v>
      </c>
      <c r="CI17" t="str">
        <v>0.174674</v>
      </c>
      <c r="CJ17" t="str">
        <v>0.109454</v>
      </c>
      <c r="CK17" t="str">
        <v>56.701542</v>
      </c>
      <c r="CL17" t="str">
        <v>0.000213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PSF-01031_20260110225049_f69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22:51:55</v>
      </c>
      <c r="C18" t="str">
        <v>2026-01-10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0.000153</v>
      </c>
      <c r="K18" t="str">
        <f>BH18+(BI18*AN18)+(BJ18*AN18*POWER(V18,2))+(BK18*AN18*V18)+(BL18*POWER(AN18,2))</f>
        <v>0.033814</v>
      </c>
      <c r="L18" t="str">
        <f>((M18/1000)*(1000-((T18+S18)/2)))/(T18-S18)</f>
        <v>0.000152</v>
      </c>
      <c r="M18" t="str">
        <f>(AN18*(S18-R18))/(100*U18*(1000-S18))*1000</f>
        <v>0.003173</v>
      </c>
      <c r="N18" t="str">
        <v>0.926777</v>
      </c>
      <c r="O18" t="str">
        <v>0.915544</v>
      </c>
      <c r="P18" t="str">
        <f>0.61365*EXP((17.502*AL18)/(240.97+AL18))</f>
        <v>2.841974</v>
      </c>
      <c r="Q18" t="str">
        <f>P18-N18</f>
        <v>1.915197</v>
      </c>
      <c r="R18" t="str">
        <v>9.752849</v>
      </c>
      <c r="S18" t="str">
        <v>9.872508</v>
      </c>
      <c r="T18" t="str">
        <f>(P18/AM18)*1000</f>
        <v>30.274185</v>
      </c>
      <c r="U18" t="str">
        <f>V18*BG18</f>
        <v>0.441786</v>
      </c>
      <c r="V18" t="str">
        <v>7.500000</v>
      </c>
      <c r="W18" t="str">
        <v>PSF-01031_20260110225155_b62</v>
      </c>
      <c r="X18" t="str">
        <v>134.575012</v>
      </c>
      <c r="Y18" t="str">
        <v>142.579788</v>
      </c>
      <c r="Z18" t="str">
        <v>0.056142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0.013003</v>
      </c>
      <c r="AG18" t="str">
        <v>1.000000</v>
      </c>
      <c r="AH18" t="str">
        <v>37.92</v>
      </c>
      <c r="AI18" t="str">
        <v>37.46</v>
      </c>
      <c r="AJ18" t="str">
        <v>20.66</v>
      </c>
      <c r="AK18" t="str">
        <v>23.13</v>
      </c>
      <c r="AL18" t="str">
        <f>(AK18-AJ18)*(AJ18*0+0)+AK18</f>
        <v>23.13</v>
      </c>
      <c r="AM18" t="str">
        <v>93.87</v>
      </c>
      <c r="AN18" t="str">
        <v>1.2</v>
      </c>
      <c r="AO18" t="str">
        <v>-15.9</v>
      </c>
      <c r="AP18" t="str">
        <v>1472.7</v>
      </c>
      <c r="AQ18" t="str">
        <v>1</v>
      </c>
      <c r="AR18" t="str">
        <v>3.645</v>
      </c>
      <c r="AS18" t="str">
        <v>22:41:51</v>
      </c>
      <c r="AT18" t="str">
        <v>2026-01-10</v>
      </c>
      <c r="AU18" t="str">
        <v>14.17</v>
      </c>
      <c r="AV18" t="str">
        <v>1</v>
      </c>
      <c r="AW18" t="str">
        <v>-0.000</v>
      </c>
      <c r="AX18" t="str">
        <v>-0.000</v>
      </c>
      <c r="AY18" t="str">
        <v>0.000</v>
      </c>
      <c r="AZ18" t="str">
        <v>0.475</v>
      </c>
      <c r="BA18" t="str">
        <v>0.714</v>
      </c>
      <c r="BB18" t="str">
        <v>0.861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2.469497</v>
      </c>
      <c r="CD18" t="str">
        <v>2.415318</v>
      </c>
      <c r="CE18" t="str">
        <v>0.607034</v>
      </c>
      <c r="CF18" t="str">
        <v>0.572583</v>
      </c>
      <c r="CG18" t="str">
        <v>0.324482</v>
      </c>
      <c r="CH18" t="str">
        <v>0.029136</v>
      </c>
      <c r="CI18" t="str">
        <v>0.180945</v>
      </c>
      <c r="CJ18" t="str">
        <v>0.107283</v>
      </c>
      <c r="CK18" t="str">
        <v>134.575012</v>
      </c>
      <c r="CL18" t="str">
        <v>0.000214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PSF-01031_20260110225155_b62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</sheetData>
  <ignoredErrors>
    <ignoredError numberStoredAsText="1" sqref="A1:D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